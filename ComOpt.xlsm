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3.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DieseArbeitsmappe" defaultThemeVersion="166925"/>
  <mc:AlternateContent xmlns:mc="http://schemas.openxmlformats.org/markup-compatibility/2006">
    <mc:Choice Requires="x15">
      <x15ac:absPath xmlns:x15ac="http://schemas.microsoft.com/office/spreadsheetml/2010/11/ac" url="D:\CWI\ComOPT\ComOPT_model\ComOpt\"/>
    </mc:Choice>
  </mc:AlternateContent>
  <xr:revisionPtr revIDLastSave="0" documentId="10_ncr:8100000_{358F99CA-ABAF-4F20-851A-77F4953BBF20}" xr6:coauthVersionLast="33" xr6:coauthVersionMax="33" xr10:uidLastSave="{00000000-0000-0000-0000-000000000000}"/>
  <bookViews>
    <workbookView xWindow="0" yWindow="0" windowWidth="11496" windowHeight="7944" tabRatio="550" xr2:uid="{E331B88B-E987-4353-BED7-1238B8621E04}"/>
  </bookViews>
  <sheets>
    <sheet name="IO" sheetId="4" r:id="rId1"/>
    <sheet name="MA" sheetId="29" r:id="rId2"/>
    <sheet name="TA" sheetId="28" r:id="rId3"/>
    <sheet name="a01" sheetId="1" r:id="rId4"/>
    <sheet name="a02" sheetId="17" r:id="rId5"/>
    <sheet name="a03" sheetId="18" r:id="rId6"/>
    <sheet name="a04" sheetId="19" r:id="rId7"/>
    <sheet name="a05" sheetId="20" r:id="rId8"/>
    <sheet name="a06" sheetId="21" r:id="rId9"/>
    <sheet name="a07" sheetId="22" r:id="rId10"/>
    <sheet name="a08" sheetId="23" r:id="rId11"/>
    <sheet name="a09" sheetId="24" r:id="rId12"/>
    <sheet name="a10" sheetId="25" r:id="rId13"/>
    <sheet name="total" sheetId="27" state="hidden" r:id="rId14"/>
  </sheets>
  <definedNames>
    <definedName name="_xlnm._FilterDatabase" localSheetId="4" hidden="1">'a02'!$A$14:$B$14</definedName>
    <definedName name="batt_eff" localSheetId="4">'a02'!$B$8</definedName>
    <definedName name="batt_eff" localSheetId="5">'a03'!$B$8</definedName>
    <definedName name="batt_eff" localSheetId="6">'a04'!$B$8</definedName>
    <definedName name="batt_eff" localSheetId="7">'a05'!$B$8</definedName>
    <definedName name="batt_eff" localSheetId="8">'a06'!$B$8</definedName>
    <definedName name="batt_eff" localSheetId="9">'a07'!$B$8</definedName>
    <definedName name="batt_eff" localSheetId="10">'a08'!$B$8</definedName>
    <definedName name="batt_eff" localSheetId="11">'a09'!$B$8</definedName>
    <definedName name="batt_eff" localSheetId="12">'a10'!$B$8</definedName>
    <definedName name="batt_eff" localSheetId="1">MA!$B$8</definedName>
    <definedName name="batt_eff" localSheetId="2">TA!$B$8</definedName>
    <definedName name="batt_eff" localSheetId="13">total!$B$8</definedName>
    <definedName name="batt_eff">'a01'!$B$8</definedName>
    <definedName name="endSOC" localSheetId="4">'a02'!$B$12</definedName>
    <definedName name="endSOC" localSheetId="5">'a03'!$B$12</definedName>
    <definedName name="endSOC" localSheetId="6">'a04'!$B$12</definedName>
    <definedName name="endSOC" localSheetId="7">'a05'!$B$12</definedName>
    <definedName name="endSOC" localSheetId="8">'a06'!$B$12</definedName>
    <definedName name="endSOC" localSheetId="9">'a07'!$B$12</definedName>
    <definedName name="endSOC" localSheetId="10">'a08'!$B$12</definedName>
    <definedName name="endSOC" localSheetId="11">'a09'!$B$12</definedName>
    <definedName name="endSOC" localSheetId="12">'a10'!$B$12</definedName>
    <definedName name="endSOC" localSheetId="1">MA!$B$12</definedName>
    <definedName name="endSOC" localSheetId="2">TA!$B$12</definedName>
    <definedName name="endSOC" localSheetId="13">total!$B$12</definedName>
    <definedName name="endSOC">'a01'!$B$12</definedName>
    <definedName name="horizont" localSheetId="4">'a02'!$B$13</definedName>
    <definedName name="horizont" localSheetId="5">'a03'!$B$13</definedName>
    <definedName name="horizont" localSheetId="6">'a04'!$B$13</definedName>
    <definedName name="horizont" localSheetId="7">'a05'!$B$13</definedName>
    <definedName name="horizont" localSheetId="8">'a06'!$B$13</definedName>
    <definedName name="horizont" localSheetId="9">'a07'!$B$13</definedName>
    <definedName name="horizont" localSheetId="10">'a08'!$B$13</definedName>
    <definedName name="horizont" localSheetId="11">'a09'!$B$13</definedName>
    <definedName name="horizont" localSheetId="12">'a10'!$B$13</definedName>
    <definedName name="horizont" localSheetId="1">MA!$B$13</definedName>
    <definedName name="horizont" localSheetId="2">TA!$B$13</definedName>
    <definedName name="horizont" localSheetId="13">total!$B$13</definedName>
    <definedName name="horizont">'a01'!$B$13</definedName>
    <definedName name="initSOC" localSheetId="4">'a02'!$B$11</definedName>
    <definedName name="initSOC" localSheetId="5">'a03'!$B$11</definedName>
    <definedName name="initSOC" localSheetId="6">'a04'!$B$11</definedName>
    <definedName name="initSOC" localSheetId="7">'a05'!$B$11</definedName>
    <definedName name="initSOC" localSheetId="8">'a06'!$B$11</definedName>
    <definedName name="initSOC" localSheetId="9">'a07'!$B$11</definedName>
    <definedName name="initSOC" localSheetId="10">'a08'!$B$11</definedName>
    <definedName name="initSOC" localSheetId="11">'a09'!$B$11</definedName>
    <definedName name="initSOC" localSheetId="12">'a10'!$B$11</definedName>
    <definedName name="initSOC" localSheetId="1">MA!$B$11</definedName>
    <definedName name="initSOC" localSheetId="2">TA!$B$11</definedName>
    <definedName name="initSOC" localSheetId="13">total!$B$11</definedName>
    <definedName name="initSOC">'a01'!$B$11</definedName>
    <definedName name="max_buy" localSheetId="4">'a02'!$B$9</definedName>
    <definedName name="max_buy" localSheetId="5">'a03'!$B$9</definedName>
    <definedName name="max_buy" localSheetId="6">'a04'!$B$9</definedName>
    <definedName name="max_buy" localSheetId="7">'a05'!$B$9</definedName>
    <definedName name="max_buy" localSheetId="8">'a06'!$B$9</definedName>
    <definedName name="max_buy" localSheetId="9">'a07'!$B$9</definedName>
    <definedName name="max_buy" localSheetId="10">'a08'!$B$9</definedName>
    <definedName name="max_buy" localSheetId="11">'a09'!$B$9</definedName>
    <definedName name="max_buy" localSheetId="12">'a10'!$B$9</definedName>
    <definedName name="max_buy" localSheetId="1">MA!$B$9</definedName>
    <definedName name="max_buy" localSheetId="2">TA!$B$9</definedName>
    <definedName name="max_buy" localSheetId="13">total!$B$9</definedName>
    <definedName name="max_buy">'a01'!$B$9</definedName>
    <definedName name="max_cha" localSheetId="4">'a02'!$B$5</definedName>
    <definedName name="max_cha" localSheetId="5">'a03'!$B$5</definedName>
    <definedName name="max_cha" localSheetId="6">'a04'!$B$5</definedName>
    <definedName name="max_cha" localSheetId="7">'a05'!$B$5</definedName>
    <definedName name="max_cha" localSheetId="8">'a06'!$B$5</definedName>
    <definedName name="max_cha" localSheetId="9">'a07'!$B$5</definedName>
    <definedName name="max_cha" localSheetId="10">'a08'!$B$5</definedName>
    <definedName name="max_cha" localSheetId="11">'a09'!$B$5</definedName>
    <definedName name="max_cha" localSheetId="12">'a10'!$B$5</definedName>
    <definedName name="max_cha" localSheetId="1">MA!$B$5</definedName>
    <definedName name="max_cha" localSheetId="2">TA!$B$5</definedName>
    <definedName name="max_cha" localSheetId="13">total!$B$5</definedName>
    <definedName name="max_cha">'a01'!$B$5</definedName>
    <definedName name="max_dis" localSheetId="4">'a02'!$B$3</definedName>
    <definedName name="max_dis" localSheetId="5">'a03'!$B$3</definedName>
    <definedName name="max_dis" localSheetId="6">'a04'!$B$3</definedName>
    <definedName name="max_dis" localSheetId="7">'a05'!$B$3</definedName>
    <definedName name="max_dis" localSheetId="8">'a06'!$B$3</definedName>
    <definedName name="max_dis" localSheetId="9">'a07'!$B$3</definedName>
    <definedName name="max_dis" localSheetId="10">'a08'!$B$3</definedName>
    <definedName name="max_dis" localSheetId="11">'a09'!$B$3</definedName>
    <definedName name="max_dis" localSheetId="12">'a10'!$B$3</definedName>
    <definedName name="max_dis" localSheetId="1">MA!$B$3</definedName>
    <definedName name="max_dis" localSheetId="2">TA!$B$3</definedName>
    <definedName name="max_dis" localSheetId="13">total!$B$3</definedName>
    <definedName name="max_dis">'a01'!$B$3</definedName>
    <definedName name="max_sell" localSheetId="4">'a02'!$B$10</definedName>
    <definedName name="max_sell" localSheetId="5">'a03'!$B$10</definedName>
    <definedName name="max_sell" localSheetId="6">'a04'!$B$10</definedName>
    <definedName name="max_sell" localSheetId="7">'a05'!$B$10</definedName>
    <definedName name="max_sell" localSheetId="8">'a06'!$B$10</definedName>
    <definedName name="max_sell" localSheetId="9">'a07'!$B$10</definedName>
    <definedName name="max_sell" localSheetId="10">'a08'!$B$10</definedName>
    <definedName name="max_sell" localSheetId="11">'a09'!$B$10</definedName>
    <definedName name="max_sell" localSheetId="12">'a10'!$B$10</definedName>
    <definedName name="max_sell" localSheetId="1">MA!$B$10</definedName>
    <definedName name="max_sell" localSheetId="2">TA!$B$10</definedName>
    <definedName name="max_sell" localSheetId="13">total!$B$10</definedName>
    <definedName name="max_sell">'a01'!$B$10</definedName>
    <definedName name="min_cha" localSheetId="4">'a02'!$B$4</definedName>
    <definedName name="min_cha" localSheetId="5">'a03'!$B$4</definedName>
    <definedName name="min_cha" localSheetId="6">'a04'!$B$4</definedName>
    <definedName name="min_cha" localSheetId="7">'a05'!$B$4</definedName>
    <definedName name="min_cha" localSheetId="8">'a06'!$B$4</definedName>
    <definedName name="min_cha" localSheetId="9">'a07'!$B$4</definedName>
    <definedName name="min_cha" localSheetId="10">'a08'!$B$4</definedName>
    <definedName name="min_cha" localSheetId="11">'a09'!$B$4</definedName>
    <definedName name="min_cha" localSheetId="12">'a10'!$B$4</definedName>
    <definedName name="min_cha" localSheetId="1">MA!$B$4</definedName>
    <definedName name="min_cha" localSheetId="2">TA!$B$4</definedName>
    <definedName name="min_cha" localSheetId="13">total!$B$4</definedName>
    <definedName name="min_cha">'a01'!$B$4</definedName>
    <definedName name="min_char" localSheetId="4">'a02'!$B$4</definedName>
    <definedName name="min_char" localSheetId="5">'a03'!$B$4</definedName>
    <definedName name="min_char" localSheetId="6">'a04'!$B$4</definedName>
    <definedName name="min_char" localSheetId="7">'a05'!$B$4</definedName>
    <definedName name="min_char" localSheetId="8">'a06'!$B$4</definedName>
    <definedName name="min_char" localSheetId="9">'a07'!$B$4</definedName>
    <definedName name="min_char" localSheetId="10">'a08'!$B$4</definedName>
    <definedName name="min_char" localSheetId="11">'a09'!$B$4</definedName>
    <definedName name="min_char" localSheetId="12">'a10'!$B$4</definedName>
    <definedName name="min_char" localSheetId="1">MA!$B$4</definedName>
    <definedName name="min_char" localSheetId="2">TA!$B$4</definedName>
    <definedName name="min_char" localSheetId="13">total!$B$4</definedName>
    <definedName name="min_char">'a01'!$B$4</definedName>
    <definedName name="min_dis" localSheetId="4">'a02'!$B$2</definedName>
    <definedName name="min_dis" localSheetId="5">'a03'!$B$2</definedName>
    <definedName name="min_dis" localSheetId="6">'a04'!$B$2</definedName>
    <definedName name="min_dis" localSheetId="7">'a05'!$B$2</definedName>
    <definedName name="min_dis" localSheetId="8">'a06'!$B$2</definedName>
    <definedName name="min_dis" localSheetId="9">'a07'!$B$2</definedName>
    <definedName name="min_dis" localSheetId="10">'a08'!$B$2</definedName>
    <definedName name="min_dis" localSheetId="11">'a09'!$B$2</definedName>
    <definedName name="min_dis" localSheetId="12">'a10'!$B$2</definedName>
    <definedName name="min_dis" localSheetId="1">MA!$B$2</definedName>
    <definedName name="min_dis" localSheetId="2">TA!$B$2</definedName>
    <definedName name="min_dis" localSheetId="13">total!$B$2</definedName>
    <definedName name="min_dis">'a01'!$B$2</definedName>
    <definedName name="Status" localSheetId="4">'a02'!$A$16</definedName>
    <definedName name="Status" localSheetId="5">'a03'!$A$16</definedName>
    <definedName name="Status" localSheetId="6">'a04'!$A$16</definedName>
    <definedName name="Status" localSheetId="7">'a05'!$A$16</definedName>
    <definedName name="Status" localSheetId="8">'a06'!$A$16</definedName>
    <definedName name="Status" localSheetId="9">'a07'!$A$16</definedName>
    <definedName name="Status" localSheetId="10">'a08'!$A$16</definedName>
    <definedName name="Status" localSheetId="11">'a09'!$A$16</definedName>
    <definedName name="Status" localSheetId="12">'a10'!$A$16</definedName>
    <definedName name="Status" localSheetId="1">MA!$A$16</definedName>
    <definedName name="Status" localSheetId="2">TA!$A$16</definedName>
    <definedName name="Status" localSheetId="13">total!$A$16</definedName>
    <definedName name="Status">'a01'!$A$16</definedName>
    <definedName name="thres_down" localSheetId="4">'a02'!$B$6</definedName>
    <definedName name="thres_down" localSheetId="5">'a03'!$B$6</definedName>
    <definedName name="thres_down" localSheetId="6">'a04'!$B$6</definedName>
    <definedName name="thres_down" localSheetId="7">'a05'!$B$6</definedName>
    <definedName name="thres_down" localSheetId="8">'a06'!$B$6</definedName>
    <definedName name="thres_down" localSheetId="9">'a07'!$B$6</definedName>
    <definedName name="thres_down" localSheetId="10">'a08'!$B$6</definedName>
    <definedName name="thres_down" localSheetId="11">'a09'!$B$6</definedName>
    <definedName name="thres_down" localSheetId="12">'a10'!$B$6</definedName>
    <definedName name="thres_down" localSheetId="1">MA!$B$6</definedName>
    <definedName name="thres_down" localSheetId="2">TA!$B$6</definedName>
    <definedName name="thres_down" localSheetId="13">total!$B$6</definedName>
    <definedName name="thres_down">'a01'!$B$6</definedName>
    <definedName name="thres_up" localSheetId="4">'a02'!$B$7</definedName>
    <definedName name="thres_up" localSheetId="5">'a03'!$B$7</definedName>
    <definedName name="thres_up" localSheetId="6">'a04'!$B$7</definedName>
    <definedName name="thres_up" localSheetId="7">'a05'!$B$7</definedName>
    <definedName name="thres_up" localSheetId="8">'a06'!$B$7</definedName>
    <definedName name="thres_up" localSheetId="9">'a07'!$B$7</definedName>
    <definedName name="thres_up" localSheetId="10">'a08'!$B$7</definedName>
    <definedName name="thres_up" localSheetId="11">'a09'!$B$7</definedName>
    <definedName name="thres_up" localSheetId="12">'a10'!$B$7</definedName>
    <definedName name="thres_up" localSheetId="1">MA!$B$7</definedName>
    <definedName name="thres_up" localSheetId="2">TA!$B$7</definedName>
    <definedName name="thres_up" localSheetId="13">total!$B$7</definedName>
    <definedName name="thres_up">'a01'!$B$7</definedName>
    <definedName name="Total_Costs" localSheetId="4">'a02'!$A$15</definedName>
    <definedName name="Total_Costs" localSheetId="5">'a03'!$A$15</definedName>
    <definedName name="Total_Costs" localSheetId="6">'a04'!$A$15</definedName>
    <definedName name="Total_Costs" localSheetId="7">'a05'!$A$15</definedName>
    <definedName name="Total_Costs" localSheetId="8">'a06'!$A$15</definedName>
    <definedName name="Total_Costs" localSheetId="9">'a07'!$A$15</definedName>
    <definedName name="Total_Costs" localSheetId="10">'a08'!$A$15</definedName>
    <definedName name="Total_Costs" localSheetId="11">'a09'!$A$15</definedName>
    <definedName name="Total_Costs" localSheetId="12">'a10'!$A$15</definedName>
    <definedName name="Total_Costs" localSheetId="1">MA!$A$15</definedName>
    <definedName name="Total_Costs" localSheetId="2">TA!$A$15</definedName>
    <definedName name="Total_Costs" localSheetId="13">total!$A$15</definedName>
    <definedName name="Total_Costs">'a01'!$A$15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5" i="29" l="1"/>
  <c r="V6" i="29"/>
  <c r="V7" i="29"/>
  <c r="V8" i="29"/>
  <c r="V9" i="29"/>
  <c r="V10" i="29"/>
  <c r="V11" i="29"/>
  <c r="V12" i="29"/>
  <c r="V13" i="29"/>
  <c r="V14" i="29"/>
  <c r="V15" i="29"/>
  <c r="V16" i="29"/>
  <c r="V17" i="29"/>
  <c r="V18" i="29"/>
  <c r="V19" i="29"/>
  <c r="V20" i="29"/>
  <c r="V21" i="29"/>
  <c r="V22" i="29"/>
  <c r="V23" i="29"/>
  <c r="V24" i="29"/>
  <c r="V25" i="29"/>
  <c r="V26" i="29"/>
  <c r="V27" i="29"/>
  <c r="V4" i="29"/>
  <c r="V28" i="29" l="1"/>
  <c r="F100" i="1"/>
  <c r="E100" i="1"/>
  <c r="J100" i="29" l="1"/>
  <c r="I100" i="29"/>
  <c r="J100" i="28" l="1"/>
  <c r="I100" i="28"/>
  <c r="F12" i="4" l="1"/>
  <c r="F11" i="4"/>
  <c r="F10" i="4"/>
  <c r="F9" i="4"/>
  <c r="F8" i="4"/>
  <c r="F7" i="4"/>
  <c r="F6" i="4"/>
  <c r="F5" i="4"/>
  <c r="F4" i="4"/>
  <c r="F3" i="4"/>
  <c r="F13" i="4" l="1"/>
  <c r="A12" i="4"/>
  <c r="A11" i="4"/>
  <c r="A10" i="4"/>
  <c r="A9" i="4"/>
  <c r="A8" i="4"/>
  <c r="A7" i="4"/>
  <c r="A6" i="4"/>
  <c r="A5" i="4"/>
  <c r="A4" i="4"/>
  <c r="A3" i="4"/>
  <c r="I100" i="27"/>
  <c r="H100" i="27"/>
  <c r="R99" i="27"/>
  <c r="R98" i="27"/>
  <c r="R97" i="27"/>
  <c r="R96" i="27"/>
  <c r="R95" i="27"/>
  <c r="R94" i="27"/>
  <c r="R93" i="27"/>
  <c r="R92" i="27"/>
  <c r="R91" i="27"/>
  <c r="R90" i="27"/>
  <c r="R89" i="27"/>
  <c r="R88" i="27"/>
  <c r="R87" i="27"/>
  <c r="R86" i="27"/>
  <c r="R85" i="27"/>
  <c r="R84" i="27"/>
  <c r="R83" i="27"/>
  <c r="R82" i="27"/>
  <c r="R81" i="27"/>
  <c r="R80" i="27"/>
  <c r="R79" i="27"/>
  <c r="R78" i="27"/>
  <c r="R77" i="27"/>
  <c r="R76" i="27"/>
  <c r="R75" i="27"/>
  <c r="R74" i="27"/>
  <c r="R73" i="27"/>
  <c r="R72" i="27"/>
  <c r="R71" i="27"/>
  <c r="R70" i="27"/>
  <c r="R69" i="27"/>
  <c r="R68" i="27"/>
  <c r="R67" i="27"/>
  <c r="R66" i="27"/>
  <c r="R65" i="27"/>
  <c r="R64" i="27"/>
  <c r="R63" i="27"/>
  <c r="R62" i="27"/>
  <c r="R61" i="27"/>
  <c r="R60" i="27"/>
  <c r="R59" i="27"/>
  <c r="R58" i="27"/>
  <c r="R57" i="27"/>
  <c r="R56" i="27"/>
  <c r="R55" i="27"/>
  <c r="R54" i="27"/>
  <c r="R53" i="27"/>
  <c r="R52" i="27"/>
  <c r="R51" i="27"/>
  <c r="R50" i="27"/>
  <c r="R49" i="27"/>
  <c r="R48" i="27"/>
  <c r="R47" i="27"/>
  <c r="R46" i="27"/>
  <c r="R45" i="27"/>
  <c r="R44" i="27"/>
  <c r="R43" i="27"/>
  <c r="R42" i="27"/>
  <c r="R41" i="27"/>
  <c r="R40" i="27"/>
  <c r="R39" i="27"/>
  <c r="R38" i="27"/>
  <c r="R37" i="27"/>
  <c r="R36" i="27"/>
  <c r="R35" i="27"/>
  <c r="R34" i="27"/>
  <c r="R33" i="27"/>
  <c r="R32" i="27"/>
  <c r="R31" i="27"/>
  <c r="R30" i="27"/>
  <c r="R29" i="27"/>
  <c r="R28" i="27"/>
  <c r="I100" i="25" l="1"/>
  <c r="H100" i="25"/>
  <c r="I100" i="24"/>
  <c r="H100" i="24"/>
  <c r="I100" i="23"/>
  <c r="H100" i="23"/>
  <c r="I100" i="22"/>
  <c r="H100" i="22"/>
  <c r="I100" i="21"/>
  <c r="H100" i="21"/>
  <c r="I100" i="20"/>
  <c r="H100" i="20"/>
  <c r="I100" i="19"/>
  <c r="H100" i="19"/>
  <c r="I100" i="18"/>
  <c r="H100" i="18"/>
  <c r="I100" i="17"/>
  <c r="H100"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 G.</author>
  </authors>
  <commentList>
    <comment ref="F1" authorId="0" shapeId="0" xr:uid="{0C873D08-9599-46C0-A8F3-52369656DE56}">
      <text>
        <r>
          <rPr>
            <b/>
            <sz val="18"/>
            <color indexed="81"/>
            <rFont val="Segoe UI"/>
            <family val="2"/>
          </rPr>
          <t>W. G.:</t>
        </r>
        <r>
          <rPr>
            <sz val="18"/>
            <color indexed="81"/>
            <rFont val="Segoe UI"/>
            <family val="2"/>
          </rPr>
          <t xml:space="preserve">
Negative Costs == Earnings</t>
        </r>
      </text>
    </comment>
  </commentList>
</comments>
</file>

<file path=xl/sharedStrings.xml><?xml version="1.0" encoding="utf-8"?>
<sst xmlns="http://schemas.openxmlformats.org/spreadsheetml/2006/main" count="691" uniqueCount="109">
  <si>
    <t>index fulltime</t>
  </si>
  <si>
    <t>min_dis</t>
  </si>
  <si>
    <t>max_dis</t>
  </si>
  <si>
    <t>min_cha</t>
  </si>
  <si>
    <t>max_cha</t>
  </si>
  <si>
    <t>thres_down</t>
  </si>
  <si>
    <t>thres_up</t>
  </si>
  <si>
    <t>batt_eff</t>
  </si>
  <si>
    <t>max_buy</t>
  </si>
  <si>
    <t>initSOC</t>
  </si>
  <si>
    <t>TOTAL COST</t>
  </si>
  <si>
    <t xml:space="preserve">index </t>
  </si>
  <si>
    <t>timestep</t>
  </si>
  <si>
    <t>Var</t>
  </si>
  <si>
    <t>TS</t>
  </si>
  <si>
    <t>endSOC</t>
  </si>
  <si>
    <t>buy</t>
  </si>
  <si>
    <t>sell</t>
  </si>
  <si>
    <t>b_stat</t>
  </si>
  <si>
    <t>s_stat</t>
  </si>
  <si>
    <t>cap</t>
  </si>
  <si>
    <t>c_stat</t>
  </si>
  <si>
    <t>d_stat</t>
  </si>
  <si>
    <t>char</t>
  </si>
  <si>
    <t>dis</t>
  </si>
  <si>
    <t>pv</t>
  </si>
  <si>
    <t>dem</t>
  </si>
  <si>
    <t>time</t>
  </si>
  <si>
    <t>mp</t>
  </si>
  <si>
    <t>fp</t>
  </si>
  <si>
    <t>calc</t>
  </si>
  <si>
    <t>max_sell</t>
  </si>
  <si>
    <t>horizont</t>
  </si>
  <si>
    <t>buying</t>
  </si>
  <si>
    <t>Energy 
Demand</t>
  </si>
  <si>
    <t>TOTAL</t>
  </si>
  <si>
    <t>Midpeak</t>
  </si>
  <si>
    <t>Standard</t>
  </si>
  <si>
    <t>Profiles</t>
  </si>
  <si>
    <t>Run 1</t>
  </si>
  <si>
    <t>Run 2</t>
  </si>
  <si>
    <t>Run 3</t>
  </si>
  <si>
    <t>Run 4</t>
  </si>
  <si>
    <t>Run 5</t>
  </si>
  <si>
    <t>Run 6</t>
  </si>
  <si>
    <t>Run 7</t>
  </si>
  <si>
    <t>Run 8</t>
  </si>
  <si>
    <t>Run 9</t>
  </si>
  <si>
    <t>Run 10</t>
  </si>
  <si>
    <t>Runs</t>
  </si>
  <si>
    <t>Total Costs
Run</t>
  </si>
  <si>
    <t>Profile PV</t>
  </si>
  <si>
    <t>Nightuser</t>
  </si>
  <si>
    <t>FuzzyUser</t>
  </si>
  <si>
    <t>Energy 
Generation</t>
  </si>
  <si>
    <t>Profile 
Demand</t>
  </si>
  <si>
    <t>Costs per Run</t>
  </si>
  <si>
    <t>Forenoon Peak</t>
  </si>
  <si>
    <t>Noon Peak</t>
  </si>
  <si>
    <t>Afternoon Peak</t>
  </si>
  <si>
    <t>Selling</t>
  </si>
  <si>
    <t>ACTUAL PLOT</t>
  </si>
  <si>
    <t>Agent 1</t>
  </si>
  <si>
    <t>PLOT CONTROL</t>
  </si>
  <si>
    <t>Agent 2</t>
  </si>
  <si>
    <t>Agent 3</t>
  </si>
  <si>
    <t>Agent 4</t>
  </si>
  <si>
    <t>Agent 6</t>
  </si>
  <si>
    <t>Agent 5</t>
  </si>
  <si>
    <t>Agent 7</t>
  </si>
  <si>
    <t>Agent 8</t>
  </si>
  <si>
    <t>Agent 9</t>
  </si>
  <si>
    <t>Agent 10</t>
  </si>
  <si>
    <t>Standarduser</t>
  </si>
  <si>
    <t>TIME</t>
  </si>
  <si>
    <t>Agent 
Active</t>
  </si>
  <si>
    <t>DEMAND PROFILES</t>
  </si>
  <si>
    <t>PV PROFILES</t>
  </si>
  <si>
    <t>Afternoon</t>
  </si>
  <si>
    <t>Foenonon</t>
  </si>
  <si>
    <t>INSTRUCTIONS</t>
  </si>
  <si>
    <t>-</t>
  </si>
  <si>
    <t>Fuzzyuser</t>
  </si>
  <si>
    <t>0. Use the buttons within Plot Control to check out the Demand and PV Profiles.
1. Open Input Mask for Agent Data Input
2. Select the number of agents you want to integrate into the model.
3.Choose values for Energy Demand and PV Generation and insert them into the spreadsheets using the button „Insert Demand and Generation Data“. You could also use the "Random Inputs" button, to generate some data.
4.Choose Profiles and click on „Insert Profiles“
5.Type in values for additional agent parameters and add them agent by agent with the buttons „Add to Agent[number]“ or use „Add to All“ 
6. If you close the mask the input data from the IO-Sheet gets deployed to the agent sheets. If you want to leave the mask open  make sure you click on the Button "Update Timeseries" within the mask to update. 
7. If needed, you can further change the data on the IO-sheet itself. Then click "Update Timeseries" to spread the inputs to the agent sheets.
8. Insert market and feed in prices and click on the button to spread this data to the agent sheets
9. Start "run.py" from the file directory
within console 
10. Click through "Agent [number]"-buttons within the plot controls section of the IO-sheet to see the simulation results from the python program
____________________________________
NOTES: 
If you clear the simluation plot results with the button, then re-click also the "Agent[number]" Plot button
ALSO RE-CLICK AFTER SIMULATION!</t>
  </si>
  <si>
    <t>TA</t>
  </si>
  <si>
    <t>datetime</t>
  </si>
  <si>
    <t>req_up</t>
  </si>
  <si>
    <t>req_down</t>
  </si>
  <si>
    <t>market</t>
  </si>
  <si>
    <t>Day Ahead</t>
  </si>
  <si>
    <t>MA</t>
  </si>
  <si>
    <t>buy_switch</t>
  </si>
  <si>
    <t>sell_switch</t>
  </si>
  <si>
    <t>char_switch</t>
  </si>
  <si>
    <t>dis_switch</t>
  </si>
  <si>
    <t>batt_flex_up</t>
  </si>
  <si>
    <t>batt_flex_down</t>
  </si>
  <si>
    <t>gen</t>
  </si>
  <si>
    <t>d</t>
  </si>
  <si>
    <t>req_neg</t>
  </si>
  <si>
    <t>req_pos</t>
  </si>
  <si>
    <t>bm_neg_price</t>
  </si>
  <si>
    <t>bm_pos_price</t>
  </si>
  <si>
    <t>neq_price</t>
  </si>
  <si>
    <t>neg_price</t>
  </si>
  <si>
    <t>avail_neg</t>
  </si>
  <si>
    <t>avail_neg_price</t>
  </si>
  <si>
    <t>avail_pos</t>
  </si>
  <si>
    <t>avail_pos_price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</si>
</sst>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hh:mm"/>
    <numFmt numFmtId="165" formatCode="0.000"/>
    <numFmt numFmtId="166" formatCode="[$-F400]h:mm:ss\ AM/PM"/>
    <numFmt numFmtId="167" formatCode="0.0"/>
  </numFmts>
  <fonts count="21" x14ac:knownFonts="1">
    <font>
      <sz val="11"/>
      <color theme="1"/>
      <name val="Calibri"/>
      <family val="2"/>
      <scheme val="minor"/>
    </font>
    <font>
      <sz val="11"/>
      <name val="Calibri"/>
      <family val="2"/>
      <scheme val="minor"/>
    </font>
    <font>
      <sz val="12"/>
      <color theme="1"/>
      <name val="Calibri"/>
      <family val="2"/>
      <scheme val="minor"/>
    </font>
    <font>
      <sz val="14"/>
      <color theme="1"/>
      <name val="Calibri"/>
      <family val="2"/>
      <scheme val="minor"/>
    </font>
    <font>
      <sz val="18"/>
      <color theme="1"/>
      <name val="Calibri"/>
      <family val="2"/>
      <scheme val="minor"/>
    </font>
    <font>
      <sz val="12"/>
      <color theme="0"/>
      <name val="Calibri"/>
      <family val="2"/>
      <scheme val="minor"/>
    </font>
    <font>
      <sz val="14"/>
      <color theme="0"/>
      <name val="Calibri"/>
      <family val="2"/>
      <scheme val="minor"/>
    </font>
    <font>
      <sz val="18"/>
      <color theme="0"/>
      <name val="Calibri"/>
      <family val="2"/>
      <scheme val="minor"/>
    </font>
    <font>
      <b/>
      <sz val="14"/>
      <color theme="1"/>
      <name val="Calibri"/>
      <family val="2"/>
      <scheme val="minor"/>
    </font>
    <font>
      <sz val="18"/>
      <color rgb="FF000000"/>
      <name val="Calibri"/>
      <family val="2"/>
    </font>
    <font>
      <sz val="14"/>
      <color rgb="FF000000"/>
      <name val="Calibri"/>
      <family val="2"/>
    </font>
    <font>
      <sz val="11"/>
      <color theme="0"/>
      <name val="Calibri"/>
      <family val="2"/>
      <scheme val="minor"/>
    </font>
    <font>
      <sz val="16"/>
      <color theme="1"/>
      <name val="Calibri"/>
      <family val="2"/>
      <scheme val="minor"/>
    </font>
    <font>
      <sz val="16"/>
      <name val="Calibri"/>
      <family val="2"/>
      <scheme val="minor"/>
    </font>
    <font>
      <sz val="16"/>
      <color theme="0"/>
      <name val="Calibri"/>
      <family val="2"/>
      <scheme val="minor"/>
    </font>
    <font>
      <sz val="16"/>
      <color theme="4" tint="0.59999389629810485"/>
      <name val="Calibri"/>
      <family val="2"/>
      <scheme val="minor"/>
    </font>
    <font>
      <sz val="26"/>
      <color theme="0"/>
      <name val="Calibri"/>
      <family val="2"/>
      <scheme val="minor"/>
    </font>
    <font>
      <b/>
      <sz val="16"/>
      <color theme="0"/>
      <name val="Calibri"/>
      <family val="2"/>
      <scheme val="minor"/>
    </font>
    <font>
      <sz val="16"/>
      <color rgb="FF000000"/>
      <name val="Calibri"/>
      <family val="2"/>
    </font>
    <font>
      <b/>
      <sz val="18"/>
      <color indexed="81"/>
      <name val="Segoe UI"/>
      <family val="2"/>
    </font>
    <font>
      <sz val="18"/>
      <color indexed="81"/>
      <name val="Segoe UI"/>
      <family val="2"/>
    </font>
  </fonts>
  <fills count="26">
    <fill>
      <patternFill patternType="none"/>
    </fill>
    <fill>
      <patternFill patternType="gray125"/>
    </fill>
    <fill>
      <patternFill patternType="solid">
        <fgColor theme="2" tint="-0.249977111117893"/>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7030A0"/>
        <bgColor indexed="64"/>
      </patternFill>
    </fill>
    <fill>
      <patternFill patternType="solid">
        <fgColor rgb="FFC00000"/>
        <bgColor indexed="64"/>
      </patternFill>
    </fill>
    <fill>
      <patternFill patternType="solid">
        <fgColor rgb="FF934BC9"/>
        <bgColor indexed="64"/>
      </patternFill>
    </fill>
    <fill>
      <patternFill patternType="solid">
        <fgColor rgb="FF2B133D"/>
        <bgColor indexed="64"/>
      </patternFill>
    </fill>
    <fill>
      <patternFill patternType="solid">
        <fgColor rgb="FF00206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0070C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4" tint="-0.499984740745262"/>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rgb="FFFFFF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style="thin">
        <color theme="0"/>
      </right>
      <top/>
      <bottom style="thin">
        <color theme="0"/>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66">
    <xf numFmtId="0" fontId="0" fillId="0" borderId="0" xfId="0"/>
    <xf numFmtId="0" fontId="0" fillId="0" borderId="0" xfId="0" applyAlignment="1">
      <alignment horizontal="center"/>
    </xf>
    <xf numFmtId="0" fontId="0" fillId="0" borderId="1" xfId="0" applyBorder="1" applyAlignment="1">
      <alignment horizontal="center"/>
    </xf>
    <xf numFmtId="14" fontId="0" fillId="0" borderId="0" xfId="0" applyNumberFormat="1" applyAlignment="1">
      <alignment horizontal="center"/>
    </xf>
    <xf numFmtId="0" fontId="4" fillId="3" borderId="1" xfId="0" applyFont="1" applyFill="1" applyBorder="1" applyAlignment="1">
      <alignment horizontal="center"/>
    </xf>
    <xf numFmtId="0" fontId="2" fillId="4" borderId="1" xfId="0" applyFont="1" applyFill="1" applyBorder="1" applyAlignment="1">
      <alignment horizontal="center"/>
    </xf>
    <xf numFmtId="0" fontId="2" fillId="7" borderId="1" xfId="0" applyFont="1" applyFill="1" applyBorder="1" applyAlignment="1">
      <alignment horizontal="center"/>
    </xf>
    <xf numFmtId="0" fontId="5" fillId="12" borderId="5" xfId="0" applyFont="1" applyFill="1" applyBorder="1" applyAlignment="1">
      <alignment horizontal="center"/>
    </xf>
    <xf numFmtId="0" fontId="0" fillId="0" borderId="0" xfId="0" applyFill="1" applyAlignment="1">
      <alignment horizontal="center"/>
    </xf>
    <xf numFmtId="0" fontId="4" fillId="0" borderId="0" xfId="0" applyFont="1" applyFill="1" applyBorder="1" applyAlignment="1">
      <alignment horizontal="center" vertical="center"/>
    </xf>
    <xf numFmtId="0" fontId="0" fillId="0" borderId="0" xfId="0" applyAlignment="1">
      <alignment horizontal="center" wrapText="1"/>
    </xf>
    <xf numFmtId="0" fontId="0" fillId="0" borderId="1" xfId="0" applyBorder="1"/>
    <xf numFmtId="165" fontId="0" fillId="0" borderId="0" xfId="0" applyNumberFormat="1"/>
    <xf numFmtId="2" fontId="0" fillId="0" borderId="0" xfId="0" applyNumberFormat="1"/>
    <xf numFmtId="0" fontId="3" fillId="0" borderId="10" xfId="0" applyFont="1" applyBorder="1" applyAlignment="1">
      <alignment horizontal="center"/>
    </xf>
    <xf numFmtId="0" fontId="3" fillId="3" borderId="13" xfId="0" applyFont="1" applyFill="1" applyBorder="1"/>
    <xf numFmtId="0" fontId="4" fillId="3" borderId="1" xfId="0" applyFont="1" applyFill="1" applyBorder="1" applyAlignment="1">
      <alignment horizontal="center"/>
    </xf>
    <xf numFmtId="0" fontId="11" fillId="16" borderId="1" xfId="0" applyFont="1" applyFill="1" applyBorder="1" applyAlignment="1">
      <alignment horizontal="center"/>
    </xf>
    <xf numFmtId="165" fontId="11" fillId="17" borderId="1" xfId="0" applyNumberFormat="1" applyFont="1" applyFill="1" applyBorder="1"/>
    <xf numFmtId="0" fontId="0" fillId="5" borderId="9" xfId="0" applyFill="1" applyBorder="1" applyAlignment="1">
      <alignment horizontal="center"/>
    </xf>
    <xf numFmtId="0" fontId="0" fillId="5" borderId="11" xfId="0" applyFill="1" applyBorder="1" applyAlignment="1">
      <alignment horizontal="center"/>
    </xf>
    <xf numFmtId="0" fontId="0" fillId="5" borderId="12" xfId="0" applyFill="1" applyBorder="1" applyAlignment="1">
      <alignment horizontal="center"/>
    </xf>
    <xf numFmtId="0" fontId="0" fillId="18" borderId="17" xfId="0" applyFill="1" applyBorder="1"/>
    <xf numFmtId="166" fontId="0" fillId="0" borderId="0" xfId="0" applyNumberFormat="1"/>
    <xf numFmtId="166" fontId="0" fillId="18" borderId="16" xfId="0" applyNumberFormat="1" applyFill="1" applyBorder="1"/>
    <xf numFmtId="0" fontId="0" fillId="14" borderId="19" xfId="0" applyFill="1" applyBorder="1"/>
    <xf numFmtId="0" fontId="0" fillId="14" borderId="20" xfId="0" applyFill="1" applyBorder="1"/>
    <xf numFmtId="0" fontId="0" fillId="14" borderId="21" xfId="0" applyFill="1" applyBorder="1"/>
    <xf numFmtId="0" fontId="0" fillId="14" borderId="22" xfId="0" applyFill="1" applyBorder="1"/>
    <xf numFmtId="0" fontId="0" fillId="14" borderId="0" xfId="0" applyFill="1" applyBorder="1"/>
    <xf numFmtId="0" fontId="0" fillId="14" borderId="23" xfId="0" applyFill="1" applyBorder="1"/>
    <xf numFmtId="0" fontId="0" fillId="14" borderId="24" xfId="0" applyFill="1" applyBorder="1"/>
    <xf numFmtId="0" fontId="0" fillId="14" borderId="25" xfId="0" applyFill="1" applyBorder="1"/>
    <xf numFmtId="0" fontId="0" fillId="14" borderId="26" xfId="0" applyFill="1" applyBorder="1"/>
    <xf numFmtId="164" fontId="1" fillId="0" borderId="1" xfId="0" applyNumberFormat="1" applyFont="1" applyBorder="1"/>
    <xf numFmtId="0" fontId="4" fillId="0" borderId="4" xfId="0" applyFont="1" applyBorder="1" applyAlignment="1">
      <alignment horizontal="center"/>
    </xf>
    <xf numFmtId="0" fontId="0" fillId="0" borderId="15" xfId="0" applyBorder="1" applyAlignment="1">
      <alignment horizontal="center"/>
    </xf>
    <xf numFmtId="0" fontId="6" fillId="11" borderId="6" xfId="0" applyFont="1" applyFill="1" applyBorder="1" applyAlignment="1">
      <alignment horizontal="center" vertical="center"/>
    </xf>
    <xf numFmtId="0" fontId="6" fillId="11" borderId="7" xfId="0" applyFont="1" applyFill="1" applyBorder="1" applyAlignment="1">
      <alignment horizontal="center" vertical="center"/>
    </xf>
    <xf numFmtId="0" fontId="6" fillId="8" borderId="7" xfId="0" applyFont="1" applyFill="1" applyBorder="1" applyAlignment="1">
      <alignment horizontal="center" vertical="center"/>
    </xf>
    <xf numFmtId="0" fontId="6" fillId="10" borderId="7" xfId="0" applyFont="1" applyFill="1" applyBorder="1" applyAlignment="1">
      <alignment horizontal="center" vertical="center"/>
    </xf>
    <xf numFmtId="0" fontId="6" fillId="8" borderId="8" xfId="0" applyFont="1" applyFill="1" applyBorder="1" applyAlignment="1">
      <alignment horizontal="center" vertical="center"/>
    </xf>
    <xf numFmtId="164" fontId="1" fillId="0" borderId="12" xfId="0" applyNumberFormat="1" applyFont="1" applyBorder="1"/>
    <xf numFmtId="0" fontId="0" fillId="0" borderId="12" xfId="0" applyBorder="1" applyAlignment="1">
      <alignment horizontal="center"/>
    </xf>
    <xf numFmtId="165" fontId="11" fillId="17" borderId="12" xfId="0" applyNumberFormat="1" applyFont="1" applyFill="1" applyBorder="1"/>
    <xf numFmtId="0" fontId="11" fillId="16" borderId="12" xfId="0" applyFont="1" applyFill="1" applyBorder="1" applyAlignment="1">
      <alignment horizontal="center"/>
    </xf>
    <xf numFmtId="0" fontId="2" fillId="4" borderId="12" xfId="0" applyFont="1" applyFill="1" applyBorder="1" applyAlignment="1">
      <alignment horizontal="center"/>
    </xf>
    <xf numFmtId="0" fontId="2" fillId="7" borderId="12" xfId="0" applyFont="1" applyFill="1" applyBorder="1" applyAlignment="1">
      <alignment horizontal="center"/>
    </xf>
    <xf numFmtId="0" fontId="5" fillId="12" borderId="29" xfId="0" applyFont="1" applyFill="1" applyBorder="1" applyAlignment="1">
      <alignment horizontal="center"/>
    </xf>
    <xf numFmtId="0" fontId="0" fillId="5" borderId="14" xfId="0" applyFill="1" applyBorder="1" applyAlignment="1">
      <alignment horizontal="center"/>
    </xf>
    <xf numFmtId="164" fontId="1" fillId="0" borderId="15" xfId="0" applyNumberFormat="1" applyFont="1" applyBorder="1"/>
    <xf numFmtId="165" fontId="11" fillId="17" borderId="15" xfId="0" applyNumberFormat="1" applyFont="1" applyFill="1" applyBorder="1"/>
    <xf numFmtId="0" fontId="11" fillId="16" borderId="15" xfId="0" applyFont="1" applyFill="1" applyBorder="1" applyAlignment="1">
      <alignment horizontal="center"/>
    </xf>
    <xf numFmtId="0" fontId="2" fillId="4" borderId="15" xfId="0" applyFont="1" applyFill="1" applyBorder="1" applyAlignment="1">
      <alignment horizontal="center"/>
    </xf>
    <xf numFmtId="0" fontId="2" fillId="7" borderId="15" xfId="0" applyFont="1" applyFill="1" applyBorder="1" applyAlignment="1">
      <alignment horizontal="center"/>
    </xf>
    <xf numFmtId="0" fontId="5" fillId="12" borderId="30" xfId="0" applyFont="1" applyFill="1" applyBorder="1" applyAlignment="1">
      <alignment horizontal="center"/>
    </xf>
    <xf numFmtId="0" fontId="2" fillId="6" borderId="15" xfId="0" applyFont="1" applyFill="1" applyBorder="1" applyAlignment="1">
      <alignment horizontal="center"/>
    </xf>
    <xf numFmtId="0" fontId="0" fillId="15" borderId="12" xfId="0" applyFill="1" applyBorder="1" applyAlignment="1">
      <alignment horizontal="center"/>
    </xf>
    <xf numFmtId="0" fontId="0" fillId="15" borderId="13" xfId="0" applyFill="1" applyBorder="1" applyAlignment="1">
      <alignment horizontal="center"/>
    </xf>
    <xf numFmtId="0" fontId="0" fillId="0" borderId="0" xfId="0" applyBorder="1" applyAlignment="1">
      <alignment horizontal="center"/>
    </xf>
    <xf numFmtId="0" fontId="2" fillId="0" borderId="0" xfId="0" applyFont="1" applyFill="1" applyBorder="1" applyAlignment="1">
      <alignment horizontal="center"/>
    </xf>
    <xf numFmtId="0" fontId="2" fillId="0" borderId="0" xfId="0" applyFont="1" applyFill="1" applyBorder="1"/>
    <xf numFmtId="165" fontId="11" fillId="0" borderId="0" xfId="0" applyNumberFormat="1" applyFont="1" applyFill="1" applyBorder="1"/>
    <xf numFmtId="0" fontId="11" fillId="0" borderId="0" xfId="0" applyFont="1" applyFill="1" applyBorder="1" applyAlignment="1">
      <alignment horizontal="center"/>
    </xf>
    <xf numFmtId="0" fontId="0" fillId="0" borderId="0" xfId="0" applyBorder="1"/>
    <xf numFmtId="0" fontId="2" fillId="7" borderId="9" xfId="0" applyFont="1" applyFill="1" applyBorder="1" applyAlignment="1">
      <alignment horizontal="center"/>
    </xf>
    <xf numFmtId="0" fontId="2" fillId="7" borderId="10" xfId="0" applyFont="1" applyFill="1" applyBorder="1" applyAlignment="1">
      <alignment horizontal="center"/>
    </xf>
    <xf numFmtId="0" fontId="0" fillId="0" borderId="20" xfId="0" applyBorder="1"/>
    <xf numFmtId="0" fontId="0" fillId="0" borderId="20" xfId="0" applyBorder="1" applyAlignment="1">
      <alignment horizontal="center" wrapText="1"/>
    </xf>
    <xf numFmtId="0" fontId="0" fillId="0" borderId="22" xfId="0" applyBorder="1"/>
    <xf numFmtId="2" fontId="0" fillId="0" borderId="0" xfId="0" applyNumberFormat="1" applyBorder="1"/>
    <xf numFmtId="0" fontId="4" fillId="3" borderId="1" xfId="0" applyFont="1" applyFill="1" applyBorder="1" applyAlignment="1">
      <alignment horizontal="center"/>
    </xf>
    <xf numFmtId="0" fontId="0" fillId="0" borderId="9" xfId="0" applyBorder="1"/>
    <xf numFmtId="0" fontId="12" fillId="19" borderId="1" xfId="0" applyFont="1" applyFill="1" applyBorder="1" applyAlignment="1">
      <alignment horizontal="center"/>
    </xf>
    <xf numFmtId="0" fontId="0" fillId="0" borderId="0" xfId="0" applyFill="1" applyBorder="1"/>
    <xf numFmtId="0" fontId="12" fillId="15" borderId="1" xfId="0" applyFont="1" applyFill="1" applyBorder="1" applyAlignment="1">
      <alignment horizontal="center"/>
    </xf>
    <xf numFmtId="0" fontId="12" fillId="3" borderId="1" xfId="0" applyFont="1" applyFill="1" applyBorder="1" applyAlignment="1">
      <alignment horizontal="center"/>
    </xf>
    <xf numFmtId="167" fontId="12" fillId="20" borderId="1" xfId="0" applyNumberFormat="1" applyFont="1" applyFill="1" applyBorder="1" applyAlignment="1">
      <alignment horizontal="center"/>
    </xf>
    <xf numFmtId="0" fontId="12" fillId="19" borderId="10" xfId="0" quotePrefix="1" applyFont="1" applyFill="1" applyBorder="1" applyAlignment="1">
      <alignment horizontal="center"/>
    </xf>
    <xf numFmtId="0" fontId="0" fillId="4" borderId="32" xfId="0" applyFill="1" applyBorder="1"/>
    <xf numFmtId="0" fontId="0" fillId="4" borderId="33" xfId="0" applyFill="1" applyBorder="1"/>
    <xf numFmtId="0" fontId="0" fillId="4" borderId="33" xfId="0" applyFill="1" applyBorder="1" applyAlignment="1">
      <alignment wrapText="1"/>
    </xf>
    <xf numFmtId="0" fontId="0" fillId="4" borderId="31" xfId="0" applyFill="1" applyBorder="1"/>
    <xf numFmtId="0" fontId="3" fillId="13" borderId="36" xfId="0" applyFont="1" applyFill="1" applyBorder="1" applyAlignment="1">
      <alignment horizontal="center"/>
    </xf>
    <xf numFmtId="0" fontId="17" fillId="14" borderId="31" xfId="0" applyFont="1" applyFill="1" applyBorder="1" applyAlignment="1">
      <alignment horizontal="center" vertical="center" wrapText="1"/>
    </xf>
    <xf numFmtId="0" fontId="8" fillId="14" borderId="38" xfId="0" applyFont="1" applyFill="1" applyBorder="1" applyAlignment="1">
      <alignment horizontal="center" vertical="center" wrapText="1"/>
    </xf>
    <xf numFmtId="0" fontId="15" fillId="14" borderId="19" xfId="0" applyFont="1" applyFill="1" applyBorder="1"/>
    <xf numFmtId="0" fontId="15" fillId="14" borderId="24" xfId="0" applyFont="1" applyFill="1" applyBorder="1"/>
    <xf numFmtId="0" fontId="15" fillId="14" borderId="26" xfId="0" applyFont="1" applyFill="1" applyBorder="1"/>
    <xf numFmtId="0" fontId="17" fillId="14" borderId="39" xfId="0" applyFont="1" applyFill="1" applyBorder="1" applyAlignment="1">
      <alignment horizontal="center" vertical="center" wrapText="1"/>
    </xf>
    <xf numFmtId="0" fontId="15" fillId="14" borderId="40" xfId="0" applyFont="1" applyFill="1" applyBorder="1"/>
    <xf numFmtId="0" fontId="12" fillId="13" borderId="41" xfId="0" applyFont="1" applyFill="1" applyBorder="1" applyAlignment="1">
      <alignment horizontal="center" wrapText="1"/>
    </xf>
    <xf numFmtId="0" fontId="12" fillId="3" borderId="42" xfId="0" applyFont="1" applyFill="1" applyBorder="1"/>
    <xf numFmtId="1" fontId="14" fillId="22" borderId="42" xfId="0" applyNumberFormat="1" applyFont="1" applyFill="1" applyBorder="1" applyAlignment="1">
      <alignment horizontal="center" vertical="center"/>
    </xf>
    <xf numFmtId="0" fontId="12" fillId="3" borderId="43" xfId="0" applyFont="1" applyFill="1" applyBorder="1"/>
    <xf numFmtId="0" fontId="12" fillId="19" borderId="12" xfId="0" applyFont="1" applyFill="1" applyBorder="1" applyAlignment="1">
      <alignment horizontal="center"/>
    </xf>
    <xf numFmtId="0" fontId="12" fillId="3" borderId="12" xfId="0" applyFont="1" applyFill="1" applyBorder="1" applyAlignment="1">
      <alignment horizontal="center"/>
    </xf>
    <xf numFmtId="0" fontId="12" fillId="15" borderId="12" xfId="0" applyFont="1" applyFill="1" applyBorder="1" applyAlignment="1">
      <alignment horizontal="center"/>
    </xf>
    <xf numFmtId="167" fontId="12" fillId="20" borderId="12" xfId="0" applyNumberFormat="1" applyFont="1" applyFill="1" applyBorder="1" applyAlignment="1">
      <alignment horizontal="center"/>
    </xf>
    <xf numFmtId="0" fontId="12" fillId="19" borderId="13" xfId="0" quotePrefix="1" applyFont="1" applyFill="1" applyBorder="1" applyAlignment="1">
      <alignment horizontal="center"/>
    </xf>
    <xf numFmtId="0" fontId="14" fillId="21" borderId="37" xfId="0" applyFont="1" applyFill="1" applyBorder="1" applyAlignment="1">
      <alignment horizontal="center" wrapText="1"/>
    </xf>
    <xf numFmtId="0" fontId="14" fillId="21" borderId="44" xfId="0" applyFont="1" applyFill="1" applyBorder="1" applyAlignment="1">
      <alignment horizontal="center" wrapText="1"/>
    </xf>
    <xf numFmtId="0" fontId="14" fillId="21" borderId="45" xfId="0" applyFont="1" applyFill="1" applyBorder="1" applyAlignment="1">
      <alignment horizontal="center" wrapText="1"/>
    </xf>
    <xf numFmtId="0" fontId="12" fillId="19" borderId="6" xfId="0" applyFont="1" applyFill="1" applyBorder="1" applyAlignment="1">
      <alignment horizontal="center"/>
    </xf>
    <xf numFmtId="0" fontId="12" fillId="3" borderId="7" xfId="0" applyFont="1" applyFill="1" applyBorder="1" applyAlignment="1">
      <alignment horizontal="center"/>
    </xf>
    <xf numFmtId="0" fontId="12" fillId="19" borderId="7" xfId="0" applyFont="1" applyFill="1" applyBorder="1" applyAlignment="1">
      <alignment horizontal="center"/>
    </xf>
    <xf numFmtId="0" fontId="12" fillId="15" borderId="7" xfId="0" applyFont="1" applyFill="1" applyBorder="1" applyAlignment="1">
      <alignment horizontal="center"/>
    </xf>
    <xf numFmtId="167" fontId="12" fillId="20" borderId="7" xfId="0" applyNumberFormat="1" applyFont="1" applyFill="1" applyBorder="1" applyAlignment="1">
      <alignment horizontal="center"/>
    </xf>
    <xf numFmtId="0" fontId="12" fillId="19" borderId="8" xfId="0" quotePrefix="1" applyFont="1" applyFill="1" applyBorder="1" applyAlignment="1">
      <alignment horizontal="center"/>
    </xf>
    <xf numFmtId="0" fontId="12" fillId="19" borderId="9" xfId="0" applyFont="1" applyFill="1" applyBorder="1" applyAlignment="1">
      <alignment horizontal="center"/>
    </xf>
    <xf numFmtId="0" fontId="12" fillId="19" borderId="11" xfId="0" applyFont="1" applyFill="1" applyBorder="1" applyAlignment="1">
      <alignment horizontal="center"/>
    </xf>
    <xf numFmtId="0" fontId="8" fillId="13" borderId="34" xfId="0" applyFont="1" applyFill="1" applyBorder="1" applyAlignment="1">
      <alignment horizontal="center" vertical="center" wrapText="1"/>
    </xf>
    <xf numFmtId="0" fontId="8" fillId="13" borderId="35" xfId="0" applyFont="1" applyFill="1" applyBorder="1" applyAlignment="1">
      <alignment horizontal="center" vertical="center"/>
    </xf>
    <xf numFmtId="0" fontId="4" fillId="3" borderId="1" xfId="0" applyFont="1" applyFill="1" applyBorder="1" applyAlignment="1">
      <alignment horizontal="center"/>
    </xf>
    <xf numFmtId="22" fontId="0" fillId="0" borderId="0" xfId="0" applyNumberFormat="1"/>
    <xf numFmtId="0" fontId="0" fillId="5" borderId="32" xfId="0" applyFill="1" applyBorder="1" applyAlignment="1">
      <alignment horizontal="center"/>
    </xf>
    <xf numFmtId="0" fontId="0" fillId="5" borderId="33" xfId="0" applyFill="1" applyBorder="1" applyAlignment="1">
      <alignment horizontal="center"/>
    </xf>
    <xf numFmtId="0" fontId="0" fillId="5" borderId="31" xfId="0" applyFill="1" applyBorder="1" applyAlignment="1">
      <alignment horizontal="center"/>
    </xf>
    <xf numFmtId="0" fontId="0" fillId="15" borderId="46" xfId="0" applyFill="1" applyBorder="1" applyAlignment="1">
      <alignment horizontal="center"/>
    </xf>
    <xf numFmtId="0" fontId="2" fillId="7" borderId="6" xfId="0" applyFont="1" applyFill="1" applyBorder="1" applyAlignment="1">
      <alignment horizontal="center"/>
    </xf>
    <xf numFmtId="0" fontId="2" fillId="7" borderId="8" xfId="0" applyFont="1" applyFill="1" applyBorder="1" applyAlignment="1">
      <alignment horizontal="center"/>
    </xf>
    <xf numFmtId="0" fontId="0" fillId="0" borderId="11" xfId="0" applyBorder="1"/>
    <xf numFmtId="0" fontId="0" fillId="0" borderId="12" xfId="0" applyBorder="1"/>
    <xf numFmtId="166" fontId="0" fillId="0" borderId="21" xfId="0" applyNumberFormat="1" applyBorder="1"/>
    <xf numFmtId="166" fontId="0" fillId="0" borderId="23" xfId="0" applyNumberFormat="1" applyBorder="1"/>
    <xf numFmtId="166" fontId="0" fillId="0" borderId="26" xfId="0" applyNumberFormat="1" applyBorder="1"/>
    <xf numFmtId="0" fontId="4" fillId="3" borderId="1" xfId="0" applyFont="1" applyFill="1" applyBorder="1" applyAlignment="1">
      <alignment horizontal="center"/>
    </xf>
    <xf numFmtId="0" fontId="0" fillId="23" borderId="1" xfId="0" applyFill="1" applyBorder="1" applyAlignment="1"/>
    <xf numFmtId="0" fontId="4" fillId="3" borderId="1" xfId="0" applyFont="1" applyFill="1" applyBorder="1" applyAlignment="1"/>
    <xf numFmtId="0" fontId="4" fillId="3" borderId="4" xfId="0" applyFont="1" applyFill="1" applyBorder="1" applyAlignment="1"/>
    <xf numFmtId="0" fontId="0" fillId="24" borderId="1" xfId="0" applyFill="1" applyBorder="1" applyAlignment="1">
      <alignment horizontal="center"/>
    </xf>
    <xf numFmtId="0" fontId="0" fillId="0" borderId="1" xfId="0" applyBorder="1" applyAlignment="1">
      <alignment horizontal="center" vertical="center"/>
    </xf>
    <xf numFmtId="0" fontId="2" fillId="7" borderId="11" xfId="0" applyFont="1" applyFill="1" applyBorder="1" applyAlignment="1">
      <alignment horizontal="center"/>
    </xf>
    <xf numFmtId="0" fontId="2" fillId="7" borderId="13" xfId="0" applyFont="1" applyFill="1" applyBorder="1" applyAlignment="1">
      <alignment horizontal="center"/>
    </xf>
    <xf numFmtId="0" fontId="0" fillId="15" borderId="47" xfId="0" applyFill="1" applyBorder="1" applyAlignment="1">
      <alignment horizontal="center"/>
    </xf>
    <xf numFmtId="0" fontId="8" fillId="13" borderId="43" xfId="0" applyFont="1" applyFill="1" applyBorder="1" applyAlignment="1">
      <alignment horizontal="center" vertical="center"/>
    </xf>
    <xf numFmtId="0" fontId="0" fillId="0" borderId="0" xfId="0" applyNumberFormat="1"/>
    <xf numFmtId="0" fontId="16" fillId="14" borderId="17" xfId="0" applyFont="1" applyFill="1" applyBorder="1" applyAlignment="1">
      <alignment horizontal="center"/>
    </xf>
    <xf numFmtId="0" fontId="13" fillId="4" borderId="19" xfId="0" applyNumberFormat="1" applyFont="1" applyFill="1" applyBorder="1" applyAlignment="1">
      <alignment horizontal="center" vertical="top" wrapText="1"/>
    </xf>
    <xf numFmtId="0" fontId="1" fillId="4" borderId="20" xfId="0" applyNumberFormat="1" applyFont="1" applyFill="1" applyBorder="1" applyAlignment="1">
      <alignment horizontal="center" vertical="top" wrapText="1"/>
    </xf>
    <xf numFmtId="0" fontId="1" fillId="4" borderId="21" xfId="0" applyNumberFormat="1" applyFont="1" applyFill="1" applyBorder="1" applyAlignment="1">
      <alignment horizontal="center" vertical="top" wrapText="1"/>
    </xf>
    <xf numFmtId="0" fontId="1" fillId="4" borderId="22" xfId="0" applyNumberFormat="1" applyFont="1" applyFill="1" applyBorder="1" applyAlignment="1">
      <alignment horizontal="center" vertical="top" wrapText="1"/>
    </xf>
    <xf numFmtId="0" fontId="1" fillId="4" borderId="0" xfId="0" applyNumberFormat="1" applyFont="1" applyFill="1" applyBorder="1" applyAlignment="1">
      <alignment horizontal="center" vertical="top" wrapText="1"/>
    </xf>
    <xf numFmtId="0" fontId="1" fillId="4" borderId="23" xfId="0" applyNumberFormat="1" applyFont="1" applyFill="1" applyBorder="1" applyAlignment="1">
      <alignment horizontal="center" vertical="top" wrapText="1"/>
    </xf>
    <xf numFmtId="0" fontId="1" fillId="4" borderId="24" xfId="0" applyNumberFormat="1" applyFont="1" applyFill="1" applyBorder="1" applyAlignment="1">
      <alignment horizontal="center" vertical="top" wrapText="1"/>
    </xf>
    <xf numFmtId="0" fontId="1" fillId="4" borderId="25" xfId="0" applyNumberFormat="1" applyFont="1" applyFill="1" applyBorder="1" applyAlignment="1">
      <alignment horizontal="center" vertical="top" wrapText="1"/>
    </xf>
    <xf numFmtId="0" fontId="1" fillId="4" borderId="26" xfId="0" applyNumberFormat="1" applyFont="1" applyFill="1" applyBorder="1" applyAlignment="1">
      <alignment horizontal="center" vertical="top" wrapText="1"/>
    </xf>
    <xf numFmtId="0" fontId="14" fillId="14" borderId="16" xfId="0" applyFont="1" applyFill="1" applyBorder="1" applyAlignment="1">
      <alignment horizontal="center" vertical="center"/>
    </xf>
    <xf numFmtId="0" fontId="14" fillId="14" borderId="17" xfId="0" applyFont="1" applyFill="1" applyBorder="1" applyAlignment="1">
      <alignment horizontal="center" vertical="center"/>
    </xf>
    <xf numFmtId="0" fontId="14" fillId="14" borderId="18" xfId="0" applyFont="1" applyFill="1" applyBorder="1" applyAlignment="1">
      <alignment horizontal="center" vertical="center"/>
    </xf>
    <xf numFmtId="0" fontId="0" fillId="4" borderId="16" xfId="0" applyFill="1" applyBorder="1" applyAlignment="1">
      <alignment horizontal="center"/>
    </xf>
    <xf numFmtId="0" fontId="0" fillId="4" borderId="17" xfId="0" applyFill="1" applyBorder="1" applyAlignment="1">
      <alignment horizontal="center"/>
    </xf>
    <xf numFmtId="0" fontId="0" fillId="4" borderId="18" xfId="0" applyFill="1" applyBorder="1" applyAlignment="1">
      <alignment horizontal="center"/>
    </xf>
    <xf numFmtId="0" fontId="14" fillId="14" borderId="0" xfId="0" applyFont="1" applyFill="1" applyBorder="1" applyAlignment="1">
      <alignment horizontal="center" vertical="center"/>
    </xf>
    <xf numFmtId="0" fontId="0" fillId="25" borderId="16" xfId="0" applyFill="1" applyBorder="1" applyAlignment="1">
      <alignment horizontal="center"/>
    </xf>
    <xf numFmtId="0" fontId="0" fillId="25" borderId="17" xfId="0" applyFill="1" applyBorder="1" applyAlignment="1">
      <alignment horizontal="center"/>
    </xf>
    <xf numFmtId="0" fontId="0" fillId="25" borderId="18" xfId="0" applyFill="1" applyBorder="1" applyAlignment="1">
      <alignment horizontal="center"/>
    </xf>
    <xf numFmtId="0" fontId="7" fillId="0" borderId="0" xfId="0" applyFont="1" applyFill="1" applyBorder="1" applyAlignment="1">
      <alignment horizontal="center"/>
    </xf>
    <xf numFmtId="0" fontId="7" fillId="2" borderId="3"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27" xfId="0" applyFont="1" applyFill="1" applyBorder="1" applyAlignment="1">
      <alignment horizontal="center" vertical="center"/>
    </xf>
    <xf numFmtId="0" fontId="7" fillId="2" borderId="28" xfId="0" applyFont="1" applyFill="1" applyBorder="1" applyAlignment="1">
      <alignment horizontal="center" vertical="center"/>
    </xf>
    <xf numFmtId="0" fontId="4" fillId="3" borderId="1" xfId="0" applyFont="1" applyFill="1" applyBorder="1" applyAlignment="1">
      <alignment horizontal="center"/>
    </xf>
    <xf numFmtId="0" fontId="4" fillId="3" borderId="4" xfId="0" applyFont="1" applyFill="1" applyBorder="1" applyAlignment="1">
      <alignment horizontal="center"/>
    </xf>
    <xf numFmtId="0" fontId="7" fillId="9" borderId="1" xfId="0" applyFont="1" applyFill="1" applyBorder="1" applyAlignment="1">
      <alignment horizontal="center"/>
    </xf>
    <xf numFmtId="0" fontId="7" fillId="9" borderId="4" xfId="0" applyFont="1" applyFill="1" applyBorder="1" applyAlignment="1">
      <alignment horizontal="center"/>
    </xf>
  </cellXfs>
  <cellStyles count="1">
    <cellStyle name="Standard" xfId="0" builtinId="0"/>
  </cellStyles>
  <dxfs count="1">
    <dxf>
      <font>
        <strike/>
      </font>
      <fill>
        <patternFill>
          <bgColor theme="5" tint="0.39994506668294322"/>
        </patternFill>
      </fill>
    </dxf>
  </dxfs>
  <tableStyles count="0" defaultTableStyle="TableStyleMedium2" defaultPivotStyle="PivotStyleLight16"/>
  <colors>
    <mruColors>
      <color rgb="FF2B133D"/>
      <color rgb="FFC5D8FF"/>
      <color rgb="FF9F5FCF"/>
      <color rgb="FFADE159"/>
      <color rgb="FF0078A2"/>
      <color rgb="FF934B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Prices</a:t>
            </a:r>
          </a:p>
        </c:rich>
      </c:tx>
      <c:layout>
        <c:manualLayout>
          <c:xMode val="edge"/>
          <c:yMode val="edge"/>
          <c:x val="0.47841862074932934"/>
          <c:y val="5.848672075123730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6208993106630895E-2"/>
          <c:y val="0.22457979717754634"/>
          <c:w val="0.91620057108246089"/>
          <c:h val="0.39009138906423374"/>
        </c:manualLayout>
      </c:layout>
      <c:lineChart>
        <c:grouping val="standard"/>
        <c:varyColors val="0"/>
        <c:ser>
          <c:idx val="1"/>
          <c:order val="0"/>
          <c:tx>
            <c:strRef>
              <c:f>IO!$V$2</c:f>
              <c:strCache>
                <c:ptCount val="1"/>
                <c:pt idx="0">
                  <c:v>mp</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IO!$X$3:$X$27</c:f>
              <c:numCache>
                <c:formatCode>[$-F400]h:mm:ss\ AM/PM</c:formatCode>
                <c:ptCount val="25"/>
                <c:pt idx="0">
                  <c:v>43265.041666666664</c:v>
                </c:pt>
                <c:pt idx="1">
                  <c:v>43265.083333333336</c:v>
                </c:pt>
                <c:pt idx="2">
                  <c:v>43265.125</c:v>
                </c:pt>
                <c:pt idx="3">
                  <c:v>43265.166666666664</c:v>
                </c:pt>
                <c:pt idx="4">
                  <c:v>43265.208333333336</c:v>
                </c:pt>
                <c:pt idx="5">
                  <c:v>43265.25</c:v>
                </c:pt>
                <c:pt idx="6">
                  <c:v>43265.291666666664</c:v>
                </c:pt>
                <c:pt idx="7">
                  <c:v>43265.333333333336</c:v>
                </c:pt>
                <c:pt idx="8">
                  <c:v>43265.375</c:v>
                </c:pt>
                <c:pt idx="9">
                  <c:v>43265.416666666664</c:v>
                </c:pt>
                <c:pt idx="10">
                  <c:v>43265.458333333336</c:v>
                </c:pt>
                <c:pt idx="11">
                  <c:v>43265.5</c:v>
                </c:pt>
                <c:pt idx="12">
                  <c:v>43265.541666666664</c:v>
                </c:pt>
                <c:pt idx="13">
                  <c:v>43265.583333333336</c:v>
                </c:pt>
                <c:pt idx="14">
                  <c:v>43265.625</c:v>
                </c:pt>
                <c:pt idx="15">
                  <c:v>43265.666666666664</c:v>
                </c:pt>
                <c:pt idx="16">
                  <c:v>43265.708333333336</c:v>
                </c:pt>
                <c:pt idx="17">
                  <c:v>43265.75</c:v>
                </c:pt>
                <c:pt idx="18">
                  <c:v>43265.791666666664</c:v>
                </c:pt>
                <c:pt idx="19">
                  <c:v>43265.833333333336</c:v>
                </c:pt>
                <c:pt idx="20">
                  <c:v>43265.875</c:v>
                </c:pt>
                <c:pt idx="21">
                  <c:v>43265.916666666664</c:v>
                </c:pt>
                <c:pt idx="22">
                  <c:v>43265.958333333336</c:v>
                </c:pt>
                <c:pt idx="23">
                  <c:v>43266</c:v>
                </c:pt>
              </c:numCache>
            </c:numRef>
          </c:cat>
          <c:val>
            <c:numRef>
              <c:f>IO!$V$3:$V$26</c:f>
              <c:numCache>
                <c:formatCode>General</c:formatCode>
                <c:ptCount val="24"/>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numCache>
            </c:numRef>
          </c:val>
          <c:smooth val="0"/>
          <c:extLst>
            <c:ext xmlns:c16="http://schemas.microsoft.com/office/drawing/2014/chart" uri="{C3380CC4-5D6E-409C-BE32-E72D297353CC}">
              <c16:uniqueId val="{00000002-7998-4989-A921-A9141016443C}"/>
            </c:ext>
          </c:extLst>
        </c:ser>
        <c:ser>
          <c:idx val="0"/>
          <c:order val="1"/>
          <c:tx>
            <c:strRef>
              <c:f>IO!$W$2</c:f>
              <c:strCache>
                <c:ptCount val="1"/>
                <c:pt idx="0">
                  <c:v>fp</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IO!$X$3:$X$27</c:f>
              <c:numCache>
                <c:formatCode>[$-F400]h:mm:ss\ AM/PM</c:formatCode>
                <c:ptCount val="25"/>
                <c:pt idx="0">
                  <c:v>43265.041666666664</c:v>
                </c:pt>
                <c:pt idx="1">
                  <c:v>43265.083333333336</c:v>
                </c:pt>
                <c:pt idx="2">
                  <c:v>43265.125</c:v>
                </c:pt>
                <c:pt idx="3">
                  <c:v>43265.166666666664</c:v>
                </c:pt>
                <c:pt idx="4">
                  <c:v>43265.208333333336</c:v>
                </c:pt>
                <c:pt idx="5">
                  <c:v>43265.25</c:v>
                </c:pt>
                <c:pt idx="6">
                  <c:v>43265.291666666664</c:v>
                </c:pt>
                <c:pt idx="7">
                  <c:v>43265.333333333336</c:v>
                </c:pt>
                <c:pt idx="8">
                  <c:v>43265.375</c:v>
                </c:pt>
                <c:pt idx="9">
                  <c:v>43265.416666666664</c:v>
                </c:pt>
                <c:pt idx="10">
                  <c:v>43265.458333333336</c:v>
                </c:pt>
                <c:pt idx="11">
                  <c:v>43265.5</c:v>
                </c:pt>
                <c:pt idx="12">
                  <c:v>43265.541666666664</c:v>
                </c:pt>
                <c:pt idx="13">
                  <c:v>43265.583333333336</c:v>
                </c:pt>
                <c:pt idx="14">
                  <c:v>43265.625</c:v>
                </c:pt>
                <c:pt idx="15">
                  <c:v>43265.666666666664</c:v>
                </c:pt>
                <c:pt idx="16">
                  <c:v>43265.708333333336</c:v>
                </c:pt>
                <c:pt idx="17">
                  <c:v>43265.75</c:v>
                </c:pt>
                <c:pt idx="18">
                  <c:v>43265.791666666664</c:v>
                </c:pt>
                <c:pt idx="19">
                  <c:v>43265.833333333336</c:v>
                </c:pt>
                <c:pt idx="20">
                  <c:v>43265.875</c:v>
                </c:pt>
                <c:pt idx="21">
                  <c:v>43265.916666666664</c:v>
                </c:pt>
                <c:pt idx="22">
                  <c:v>43265.958333333336</c:v>
                </c:pt>
                <c:pt idx="23">
                  <c:v>43266</c:v>
                </c:pt>
              </c:numCache>
            </c:numRef>
          </c:cat>
          <c:val>
            <c:numRef>
              <c:f>IO!$W$3:$W$26</c:f>
              <c:numCache>
                <c:formatCode>General</c:formatCode>
                <c:ptCount val="24"/>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numCache>
            </c:numRef>
          </c:val>
          <c:smooth val="0"/>
          <c:extLst>
            <c:ext xmlns:c16="http://schemas.microsoft.com/office/drawing/2014/chart" uri="{C3380CC4-5D6E-409C-BE32-E72D297353CC}">
              <c16:uniqueId val="{00000001-7998-4989-A921-A9141016443C}"/>
            </c:ext>
          </c:extLst>
        </c:ser>
        <c:dLbls>
          <c:showLegendKey val="0"/>
          <c:showVal val="0"/>
          <c:showCatName val="0"/>
          <c:showSerName val="0"/>
          <c:showPercent val="0"/>
          <c:showBubbleSize val="0"/>
        </c:dLbls>
        <c:smooth val="0"/>
        <c:axId val="782051424"/>
        <c:axId val="782052080"/>
      </c:lineChart>
      <c:catAx>
        <c:axId val="782051424"/>
        <c:scaling>
          <c:orientation val="minMax"/>
        </c:scaling>
        <c:delete val="0"/>
        <c:axPos val="b"/>
        <c:numFmt formatCode="[$-F400]h:mm:ss\ AM/PM" sourceLinked="1"/>
        <c:majorTickMark val="none"/>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ctr" anchorCtr="1"/>
          <a:lstStyle/>
          <a:p>
            <a:pPr>
              <a:defRPr sz="1200" b="0" i="0" u="none" strike="noStrike" kern="1200" baseline="0">
                <a:solidFill>
                  <a:schemeClr val="lt1">
                    <a:lumMod val="85000"/>
                  </a:schemeClr>
                </a:solidFill>
                <a:latin typeface="+mn-lt"/>
                <a:ea typeface="+mn-ea"/>
                <a:cs typeface="+mn-cs"/>
              </a:defRPr>
            </a:pPr>
            <a:endParaRPr lang="de-DE"/>
          </a:p>
        </c:txPr>
        <c:crossAx val="782052080"/>
        <c:crosses val="autoZero"/>
        <c:auto val="1"/>
        <c:lblAlgn val="ctr"/>
        <c:lblOffset val="100"/>
        <c:noMultiLvlLbl val="0"/>
      </c:catAx>
      <c:valAx>
        <c:axId val="7820520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de-DE"/>
          </a:p>
        </c:txPr>
        <c:crossAx val="782051424"/>
        <c:crosses val="autoZero"/>
        <c:crossBetween val="between"/>
      </c:valAx>
      <c:spPr>
        <a:noFill/>
        <a:ln>
          <a:noFill/>
        </a:ln>
        <a:effectLst/>
      </c:spPr>
    </c:plotArea>
    <c:legend>
      <c:legendPos val="b"/>
      <c:layout>
        <c:manualLayout>
          <c:xMode val="edge"/>
          <c:yMode val="edge"/>
          <c:x val="0.79841349957076579"/>
          <c:y val="3.1660625713399899E-2"/>
          <c:w val="0.17320050374904297"/>
          <c:h val="0.17468310026923617"/>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Mid-Day-Peak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lotArea>
      <c:layout>
        <c:manualLayout>
          <c:layoutTarget val="inner"/>
          <c:xMode val="edge"/>
          <c:yMode val="edge"/>
          <c:x val="6.327892247577023E-2"/>
          <c:y val="8.5466569180837934E-2"/>
          <c:w val="0.87498579674826926"/>
          <c:h val="0.80526081248131498"/>
        </c:manualLayout>
      </c:layout>
      <c:lineChart>
        <c:grouping val="standard"/>
        <c:varyColors val="0"/>
        <c:ser>
          <c:idx val="0"/>
          <c:order val="0"/>
          <c:tx>
            <c:strRef>
              <c:f>IO!$AG$4</c:f>
              <c:strCache>
                <c:ptCount val="1"/>
                <c:pt idx="0">
                  <c:v>pv</c:v>
                </c:pt>
              </c:strCache>
            </c:strRef>
          </c:tx>
          <c:spPr>
            <a:ln w="22225" cap="rnd">
              <a:solidFill>
                <a:srgbClr val="FFFF1E"/>
              </a:solidFill>
              <a:prstDash val="solid"/>
            </a:ln>
            <a:effectLst>
              <a:glow rad="139700">
                <a:schemeClr val="accent1">
                  <a:satMod val="175000"/>
                  <a:alpha val="14000"/>
                </a:schemeClr>
              </a:glow>
            </a:effectLst>
          </c:spPr>
          <c:marker>
            <c:symbol val="none"/>
          </c:marker>
          <c:val>
            <c:numRef>
              <c:f>IO!$AG$5:$AG$28</c:f>
              <c:numCache>
                <c:formatCode>General</c:formatCode>
                <c:ptCount val="24"/>
                <c:pt idx="0">
                  <c:v>0</c:v>
                </c:pt>
                <c:pt idx="1">
                  <c:v>0</c:v>
                </c:pt>
                <c:pt idx="2">
                  <c:v>0</c:v>
                </c:pt>
                <c:pt idx="3">
                  <c:v>0</c:v>
                </c:pt>
                <c:pt idx="4">
                  <c:v>0</c:v>
                </c:pt>
                <c:pt idx="5">
                  <c:v>0</c:v>
                </c:pt>
                <c:pt idx="6">
                  <c:v>0</c:v>
                </c:pt>
                <c:pt idx="7">
                  <c:v>1.015228426395939E-2</c:v>
                </c:pt>
                <c:pt idx="8">
                  <c:v>5.5837563451776651E-2</c:v>
                </c:pt>
                <c:pt idx="9">
                  <c:v>8.8324873096446682E-2</c:v>
                </c:pt>
                <c:pt idx="10">
                  <c:v>0.10456852791878171</c:v>
                </c:pt>
                <c:pt idx="11">
                  <c:v>0.11675126903553298</c:v>
                </c:pt>
                <c:pt idx="12">
                  <c:v>0.12487309644670053</c:v>
                </c:pt>
                <c:pt idx="13">
                  <c:v>0.11776649746192894</c:v>
                </c:pt>
                <c:pt idx="14">
                  <c:v>0.10964467005076142</c:v>
                </c:pt>
                <c:pt idx="15">
                  <c:v>0.10050761421319798</c:v>
                </c:pt>
                <c:pt idx="16">
                  <c:v>7.4111675126903559E-2</c:v>
                </c:pt>
                <c:pt idx="17">
                  <c:v>5.7868020304568529E-2</c:v>
                </c:pt>
                <c:pt idx="18">
                  <c:v>3.1472081218274113E-2</c:v>
                </c:pt>
                <c:pt idx="19">
                  <c:v>8.1218274111675131E-3</c:v>
                </c:pt>
                <c:pt idx="20">
                  <c:v>0</c:v>
                </c:pt>
                <c:pt idx="21">
                  <c:v>0</c:v>
                </c:pt>
                <c:pt idx="22">
                  <c:v>0</c:v>
                </c:pt>
                <c:pt idx="23">
                  <c:v>0</c:v>
                </c:pt>
              </c:numCache>
            </c:numRef>
          </c:val>
          <c:smooth val="0"/>
          <c:extLst>
            <c:ext xmlns:c15="http://schemas.microsoft.com/office/drawing/2012/chart" uri="{02D57815-91ED-43cb-92C2-25804820EDAC}">
              <c15:filteredCategoryTitle>
                <c15:cat>
                  <c:multiLvlStrRef>
                    <c:extLst>
                      <c:ext uri="{02D57815-91ED-43cb-92C2-25804820EDAC}">
                        <c15:formulaRef>
                          <c15:sqref>IO!#REF!</c15:sqref>
                        </c15:formulaRef>
                      </c:ext>
                    </c:extLst>
                  </c:multiLvlStrRef>
                </c15:cat>
              </c15:filteredCategoryTitle>
            </c:ext>
            <c:ext xmlns:c16="http://schemas.microsoft.com/office/drawing/2014/chart" uri="{C3380CC4-5D6E-409C-BE32-E72D297353CC}">
              <c16:uniqueId val="{00000000-D946-40B5-BB02-0AD1084C3586}"/>
            </c:ext>
          </c:extLst>
        </c:ser>
        <c:dLbls>
          <c:showLegendKey val="0"/>
          <c:showVal val="0"/>
          <c:showCatName val="0"/>
          <c:showSerName val="0"/>
          <c:showPercent val="0"/>
          <c:showBubbleSize val="0"/>
        </c:dLbls>
        <c:smooth val="0"/>
        <c:axId val="676757464"/>
        <c:axId val="676748936"/>
      </c:lineChart>
      <c:catAx>
        <c:axId val="67675746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F400]h:mm:ss\ AM/PM" sourceLinked="1"/>
        <c:majorTickMark val="none"/>
        <c:minorTickMark val="none"/>
        <c:tickLblPos val="nextTo"/>
        <c:spPr>
          <a:noFill/>
          <a:ln>
            <a:noFill/>
          </a:ln>
          <a:effectLst/>
        </c:spPr>
        <c:txPr>
          <a:bodyPr rot="-5400000" spcFirstLastPara="1" vertOverflow="ellipsis" wrap="square" anchor="ctr" anchorCtr="1"/>
          <a:lstStyle/>
          <a:p>
            <a:pPr>
              <a:defRPr sz="1000" b="0" i="0" u="none" strike="noStrike" kern="1200" baseline="0">
                <a:solidFill>
                  <a:schemeClr val="lt1">
                    <a:lumMod val="75000"/>
                  </a:schemeClr>
                </a:solidFill>
                <a:latin typeface="+mn-lt"/>
                <a:ea typeface="+mn-ea"/>
                <a:cs typeface="+mn-cs"/>
              </a:defRPr>
            </a:pPr>
            <a:endParaRPr lang="de-DE"/>
          </a:p>
        </c:txPr>
        <c:crossAx val="676748936"/>
        <c:crosses val="autoZero"/>
        <c:auto val="1"/>
        <c:lblAlgn val="ctr"/>
        <c:lblOffset val="100"/>
        <c:noMultiLvlLbl val="0"/>
      </c:catAx>
      <c:valAx>
        <c:axId val="6767489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676757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Agent 1</a:t>
            </a:r>
          </a:p>
        </c:rich>
      </c:tx>
      <c:layout>
        <c:manualLayout>
          <c:xMode val="edge"/>
          <c:yMode val="edge"/>
          <c:x val="0.88363085634308369"/>
          <c:y val="3.2393905813571031E-3"/>
        </c:manualLayout>
      </c:layout>
      <c:overlay val="0"/>
      <c:spPr>
        <a:noFill/>
        <a:ln>
          <a:solidFill>
            <a:sysClr val="window" lastClr="FFFFFF"/>
          </a:solid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7.1492590521058483E-2"/>
          <c:y val="6.8363257097549396E-2"/>
          <c:w val="0.85491316518966054"/>
          <c:h val="0.77644825309486143"/>
        </c:manualLayout>
      </c:layout>
      <c:barChart>
        <c:barDir val="col"/>
        <c:grouping val="stacked"/>
        <c:varyColors val="0"/>
        <c:ser>
          <c:idx val="0"/>
          <c:order val="0"/>
          <c:tx>
            <c:strRef>
              <c:f>IO!$AN$4</c:f>
              <c:strCache>
                <c:ptCount val="1"/>
                <c:pt idx="0">
                  <c:v>gen</c:v>
                </c:pt>
              </c:strCache>
            </c:strRef>
          </c:tx>
          <c:spPr>
            <a:solidFill>
              <a:srgbClr val="FFC000">
                <a:lumMod val="75000"/>
              </a:srgbClr>
            </a:solidFill>
            <a:ln w="31750">
              <a:solidFill>
                <a:srgbClr val="FFC000">
                  <a:lumMod val="40000"/>
                  <a:lumOff val="60000"/>
                </a:srgbClr>
              </a:solidFill>
            </a:ln>
            <a:effectLst>
              <a:outerShdw blurRad="57150" dist="19050" dir="5400000" algn="ctr" rotWithShape="0">
                <a:srgbClr val="000000">
                  <a:alpha val="63000"/>
                </a:srgbClr>
              </a:outerShdw>
            </a:effectLst>
          </c:spPr>
          <c:invertIfNegative val="0"/>
          <c:cat>
            <c:numRef>
              <c:f>IO!$X$3:$X$26</c:f>
              <c:numCache>
                <c:formatCode>[$-F400]h:mm:ss\ AM/PM</c:formatCode>
                <c:ptCount val="24"/>
                <c:pt idx="0">
                  <c:v>43265.041666666664</c:v>
                </c:pt>
                <c:pt idx="1">
                  <c:v>43265.083333333336</c:v>
                </c:pt>
                <c:pt idx="2">
                  <c:v>43265.125</c:v>
                </c:pt>
                <c:pt idx="3">
                  <c:v>43265.166666666664</c:v>
                </c:pt>
                <c:pt idx="4">
                  <c:v>43265.208333333336</c:v>
                </c:pt>
                <c:pt idx="5">
                  <c:v>43265.25</c:v>
                </c:pt>
                <c:pt idx="6">
                  <c:v>43265.291666666664</c:v>
                </c:pt>
                <c:pt idx="7">
                  <c:v>43265.333333333336</c:v>
                </c:pt>
                <c:pt idx="8">
                  <c:v>43265.375</c:v>
                </c:pt>
                <c:pt idx="9">
                  <c:v>43265.416666666664</c:v>
                </c:pt>
                <c:pt idx="10">
                  <c:v>43265.458333333336</c:v>
                </c:pt>
                <c:pt idx="11">
                  <c:v>43265.5</c:v>
                </c:pt>
                <c:pt idx="12">
                  <c:v>43265.541666666664</c:v>
                </c:pt>
                <c:pt idx="13">
                  <c:v>43265.583333333336</c:v>
                </c:pt>
                <c:pt idx="14">
                  <c:v>43265.625</c:v>
                </c:pt>
                <c:pt idx="15">
                  <c:v>43265.666666666664</c:v>
                </c:pt>
                <c:pt idx="16">
                  <c:v>43265.708333333336</c:v>
                </c:pt>
                <c:pt idx="17">
                  <c:v>43265.75</c:v>
                </c:pt>
                <c:pt idx="18">
                  <c:v>43265.791666666664</c:v>
                </c:pt>
                <c:pt idx="19">
                  <c:v>43265.833333333336</c:v>
                </c:pt>
                <c:pt idx="20">
                  <c:v>43265.875</c:v>
                </c:pt>
                <c:pt idx="21">
                  <c:v>43265.916666666664</c:v>
                </c:pt>
                <c:pt idx="22">
                  <c:v>43265.958333333336</c:v>
                </c:pt>
                <c:pt idx="23">
                  <c:v>43266</c:v>
                </c:pt>
              </c:numCache>
            </c:numRef>
          </c:cat>
          <c:val>
            <c:numRef>
              <c:f>IO!$AN$5:$AN$28</c:f>
              <c:numCache>
                <c:formatCode>General</c:formatCode>
                <c:ptCount val="24"/>
                <c:pt idx="0">
                  <c:v>0</c:v>
                </c:pt>
                <c:pt idx="1">
                  <c:v>0</c:v>
                </c:pt>
                <c:pt idx="2">
                  <c:v>0</c:v>
                </c:pt>
                <c:pt idx="3">
                  <c:v>0</c:v>
                </c:pt>
                <c:pt idx="4">
                  <c:v>0</c:v>
                </c:pt>
                <c:pt idx="5">
                  <c:v>0</c:v>
                </c:pt>
                <c:pt idx="6">
                  <c:v>0</c:v>
                </c:pt>
                <c:pt idx="7">
                  <c:v>0.90355329949238572</c:v>
                </c:pt>
                <c:pt idx="8">
                  <c:v>4.969543147208122</c:v>
                </c:pt>
                <c:pt idx="9">
                  <c:v>7.860913705583755</c:v>
                </c:pt>
                <c:pt idx="10">
                  <c:v>9.306598984771572</c:v>
                </c:pt>
                <c:pt idx="11">
                  <c:v>10.390862944162436</c:v>
                </c:pt>
                <c:pt idx="12">
                  <c:v>11.113705583756348</c:v>
                </c:pt>
                <c:pt idx="13">
                  <c:v>10.481218274111676</c:v>
                </c:pt>
                <c:pt idx="14">
                  <c:v>9.7583756345177672</c:v>
                </c:pt>
                <c:pt idx="15">
                  <c:v>8.9451776649746204</c:v>
                </c:pt>
                <c:pt idx="16">
                  <c:v>6.5959390862944165</c:v>
                </c:pt>
                <c:pt idx="17">
                  <c:v>5.1502538071065995</c:v>
                </c:pt>
                <c:pt idx="18">
                  <c:v>2.8010152284263961</c:v>
                </c:pt>
                <c:pt idx="19">
                  <c:v>0.72284263959390871</c:v>
                </c:pt>
                <c:pt idx="20">
                  <c:v>0</c:v>
                </c:pt>
                <c:pt idx="21">
                  <c:v>0</c:v>
                </c:pt>
                <c:pt idx="22">
                  <c:v>0</c:v>
                </c:pt>
                <c:pt idx="23">
                  <c:v>0</c:v>
                </c:pt>
              </c:numCache>
            </c:numRef>
          </c:val>
          <c:extLst>
            <c:ext xmlns:c16="http://schemas.microsoft.com/office/drawing/2014/chart" uri="{C3380CC4-5D6E-409C-BE32-E72D297353CC}">
              <c16:uniqueId val="{00000000-EBFD-4AF0-9B83-51639E74958E}"/>
            </c:ext>
          </c:extLst>
        </c:ser>
        <c:ser>
          <c:idx val="1"/>
          <c:order val="1"/>
          <c:tx>
            <c:strRef>
              <c:f>IO!$AQ$4</c:f>
              <c:strCache>
                <c:ptCount val="1"/>
                <c:pt idx="0">
                  <c:v>buy</c:v>
                </c:pt>
              </c:strCache>
            </c:strRef>
          </c:tx>
          <c:spPr>
            <a:solidFill>
              <a:srgbClr val="0078A2"/>
            </a:solidFill>
            <a:ln>
              <a:solidFill>
                <a:srgbClr val="C5D8FF"/>
              </a:solidFill>
            </a:ln>
            <a:effectLst>
              <a:outerShdw blurRad="57150" dist="19050" dir="5400000" algn="ctr" rotWithShape="0">
                <a:srgbClr val="000000">
                  <a:alpha val="63000"/>
                </a:srgbClr>
              </a:outerShdw>
            </a:effectLst>
          </c:spPr>
          <c:invertIfNegative val="0"/>
          <c:cat>
            <c:numRef>
              <c:f>IO!$X$3:$X$26</c:f>
              <c:numCache>
                <c:formatCode>[$-F400]h:mm:ss\ AM/PM</c:formatCode>
                <c:ptCount val="24"/>
                <c:pt idx="0">
                  <c:v>43265.041666666664</c:v>
                </c:pt>
                <c:pt idx="1">
                  <c:v>43265.083333333336</c:v>
                </c:pt>
                <c:pt idx="2">
                  <c:v>43265.125</c:v>
                </c:pt>
                <c:pt idx="3">
                  <c:v>43265.166666666664</c:v>
                </c:pt>
                <c:pt idx="4">
                  <c:v>43265.208333333336</c:v>
                </c:pt>
                <c:pt idx="5">
                  <c:v>43265.25</c:v>
                </c:pt>
                <c:pt idx="6">
                  <c:v>43265.291666666664</c:v>
                </c:pt>
                <c:pt idx="7">
                  <c:v>43265.333333333336</c:v>
                </c:pt>
                <c:pt idx="8">
                  <c:v>43265.375</c:v>
                </c:pt>
                <c:pt idx="9">
                  <c:v>43265.416666666664</c:v>
                </c:pt>
                <c:pt idx="10">
                  <c:v>43265.458333333336</c:v>
                </c:pt>
                <c:pt idx="11">
                  <c:v>43265.5</c:v>
                </c:pt>
                <c:pt idx="12">
                  <c:v>43265.541666666664</c:v>
                </c:pt>
                <c:pt idx="13">
                  <c:v>43265.583333333336</c:v>
                </c:pt>
                <c:pt idx="14">
                  <c:v>43265.625</c:v>
                </c:pt>
                <c:pt idx="15">
                  <c:v>43265.666666666664</c:v>
                </c:pt>
                <c:pt idx="16">
                  <c:v>43265.708333333336</c:v>
                </c:pt>
                <c:pt idx="17">
                  <c:v>43265.75</c:v>
                </c:pt>
                <c:pt idx="18">
                  <c:v>43265.791666666664</c:v>
                </c:pt>
                <c:pt idx="19">
                  <c:v>43265.833333333336</c:v>
                </c:pt>
                <c:pt idx="20">
                  <c:v>43265.875</c:v>
                </c:pt>
                <c:pt idx="21">
                  <c:v>43265.916666666664</c:v>
                </c:pt>
                <c:pt idx="22">
                  <c:v>43265.958333333336</c:v>
                </c:pt>
                <c:pt idx="23">
                  <c:v>43266</c:v>
                </c:pt>
              </c:numCache>
            </c:numRef>
          </c:cat>
          <c:val>
            <c:numRef>
              <c:f>IO!$AQ$5:$AQ$28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EBFD-4AF0-9B83-51639E74958E}"/>
            </c:ext>
          </c:extLst>
        </c:ser>
        <c:ser>
          <c:idx val="2"/>
          <c:order val="2"/>
          <c:tx>
            <c:strRef>
              <c:f>IO!$AR$4</c:f>
              <c:strCache>
                <c:ptCount val="1"/>
                <c:pt idx="0">
                  <c:v>sell</c:v>
                </c:pt>
              </c:strCache>
            </c:strRef>
          </c:tx>
          <c:spPr>
            <a:solidFill>
              <a:srgbClr val="7030A0"/>
            </a:solidFill>
            <a:ln w="38100">
              <a:solidFill>
                <a:srgbClr val="4472C4">
                  <a:lumMod val="60000"/>
                  <a:lumOff val="40000"/>
                </a:srgbClr>
              </a:solidFill>
              <a:prstDash val="solid"/>
            </a:ln>
            <a:effectLst>
              <a:glow>
                <a:srgbClr val="4472C4">
                  <a:alpha val="89000"/>
                </a:srgbClr>
              </a:glow>
            </a:effectLst>
          </c:spPr>
          <c:invertIfNegative val="0"/>
          <c:cat>
            <c:numRef>
              <c:f>IO!$X$3:$X$26</c:f>
              <c:numCache>
                <c:formatCode>[$-F400]h:mm:ss\ AM/PM</c:formatCode>
                <c:ptCount val="24"/>
                <c:pt idx="0">
                  <c:v>43265.041666666664</c:v>
                </c:pt>
                <c:pt idx="1">
                  <c:v>43265.083333333336</c:v>
                </c:pt>
                <c:pt idx="2">
                  <c:v>43265.125</c:v>
                </c:pt>
                <c:pt idx="3">
                  <c:v>43265.166666666664</c:v>
                </c:pt>
                <c:pt idx="4">
                  <c:v>43265.208333333336</c:v>
                </c:pt>
                <c:pt idx="5">
                  <c:v>43265.25</c:v>
                </c:pt>
                <c:pt idx="6">
                  <c:v>43265.291666666664</c:v>
                </c:pt>
                <c:pt idx="7">
                  <c:v>43265.333333333336</c:v>
                </c:pt>
                <c:pt idx="8">
                  <c:v>43265.375</c:v>
                </c:pt>
                <c:pt idx="9">
                  <c:v>43265.416666666664</c:v>
                </c:pt>
                <c:pt idx="10">
                  <c:v>43265.458333333336</c:v>
                </c:pt>
                <c:pt idx="11">
                  <c:v>43265.5</c:v>
                </c:pt>
                <c:pt idx="12">
                  <c:v>43265.541666666664</c:v>
                </c:pt>
                <c:pt idx="13">
                  <c:v>43265.583333333336</c:v>
                </c:pt>
                <c:pt idx="14">
                  <c:v>43265.625</c:v>
                </c:pt>
                <c:pt idx="15">
                  <c:v>43265.666666666664</c:v>
                </c:pt>
                <c:pt idx="16">
                  <c:v>43265.708333333336</c:v>
                </c:pt>
                <c:pt idx="17">
                  <c:v>43265.75</c:v>
                </c:pt>
                <c:pt idx="18">
                  <c:v>43265.791666666664</c:v>
                </c:pt>
                <c:pt idx="19">
                  <c:v>43265.833333333336</c:v>
                </c:pt>
                <c:pt idx="20">
                  <c:v>43265.875</c:v>
                </c:pt>
                <c:pt idx="21">
                  <c:v>43265.916666666664</c:v>
                </c:pt>
                <c:pt idx="22">
                  <c:v>43265.958333333336</c:v>
                </c:pt>
                <c:pt idx="23">
                  <c:v>43266</c:v>
                </c:pt>
              </c:numCache>
            </c:numRef>
          </c:cat>
          <c:val>
            <c:numRef>
              <c:f>IO!$AR$5:$AR$28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EBFD-4AF0-9B83-51639E74958E}"/>
            </c:ext>
          </c:extLst>
        </c:ser>
        <c:ser>
          <c:idx val="4"/>
          <c:order val="3"/>
          <c:tx>
            <c:strRef>
              <c:f>IO!$AT$4</c:f>
              <c:strCache>
                <c:ptCount val="1"/>
                <c:pt idx="0">
                  <c:v>char</c:v>
                </c:pt>
              </c:strCache>
            </c:strRef>
          </c:tx>
          <c:spPr>
            <a:solidFill>
              <a:srgbClr val="70AD47">
                <a:lumMod val="60000"/>
                <a:lumOff val="40000"/>
              </a:srgbClr>
            </a:solidFill>
            <a:ln w="15875">
              <a:solidFill>
                <a:srgbClr val="2B133D"/>
              </a:solidFill>
            </a:ln>
            <a:effectLst>
              <a:outerShdw blurRad="57150" dist="19050" dir="5400000" algn="ctr" rotWithShape="0">
                <a:srgbClr val="000000">
                  <a:alpha val="63000"/>
                </a:srgbClr>
              </a:outerShdw>
            </a:effectLst>
          </c:spPr>
          <c:invertIfNegative val="0"/>
          <c:val>
            <c:numRef>
              <c:f>IO!$AT$5:$AT$28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6-EBFD-4AF0-9B83-51639E74958E}"/>
            </c:ext>
          </c:extLst>
        </c:ser>
        <c:ser>
          <c:idx val="3"/>
          <c:order val="4"/>
          <c:tx>
            <c:strRef>
              <c:f>IO!$AU$4</c:f>
              <c:strCache>
                <c:ptCount val="1"/>
                <c:pt idx="0">
                  <c:v>dis</c:v>
                </c:pt>
              </c:strCache>
            </c:strRef>
          </c:tx>
          <c:spPr>
            <a:solidFill>
              <a:srgbClr val="70AD47">
                <a:lumMod val="50000"/>
              </a:srgbClr>
            </a:solidFill>
            <a:ln>
              <a:solidFill>
                <a:srgbClr val="C5D8FF"/>
              </a:solidFill>
            </a:ln>
            <a:effectLst>
              <a:outerShdw blurRad="57150" dist="19050" dir="5400000" algn="ctr" rotWithShape="0">
                <a:srgbClr val="000000">
                  <a:alpha val="63000"/>
                </a:srgbClr>
              </a:outerShdw>
            </a:effectLst>
          </c:spPr>
          <c:invertIfNegative val="0"/>
          <c:val>
            <c:numRef>
              <c:f>IO!$AU$5:$AU$28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EBFD-4AF0-9B83-51639E74958E}"/>
            </c:ext>
          </c:extLst>
        </c:ser>
        <c:dLbls>
          <c:showLegendKey val="0"/>
          <c:showVal val="0"/>
          <c:showCatName val="0"/>
          <c:showSerName val="0"/>
          <c:showPercent val="0"/>
          <c:showBubbleSize val="0"/>
        </c:dLbls>
        <c:gapWidth val="150"/>
        <c:overlap val="100"/>
        <c:axId val="747606104"/>
        <c:axId val="747604464"/>
      </c:barChart>
      <c:lineChart>
        <c:grouping val="standard"/>
        <c:varyColors val="0"/>
        <c:ser>
          <c:idx val="5"/>
          <c:order val="5"/>
          <c:tx>
            <c:strRef>
              <c:f>IO!$AM$4</c:f>
              <c:strCache>
                <c:ptCount val="1"/>
                <c:pt idx="0">
                  <c:v>dem</c:v>
                </c:pt>
              </c:strCache>
            </c:strRef>
          </c:tx>
          <c:spPr>
            <a:ln w="34925" cap="rnd">
              <a:solidFill>
                <a:srgbClr val="FF0000"/>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numRef>
              <c:f>IO!$X$3:$X$26</c:f>
              <c:numCache>
                <c:formatCode>[$-F400]h:mm:ss\ AM/PM</c:formatCode>
                <c:ptCount val="24"/>
                <c:pt idx="0">
                  <c:v>43265.041666666664</c:v>
                </c:pt>
                <c:pt idx="1">
                  <c:v>43265.083333333336</c:v>
                </c:pt>
                <c:pt idx="2">
                  <c:v>43265.125</c:v>
                </c:pt>
                <c:pt idx="3">
                  <c:v>43265.166666666664</c:v>
                </c:pt>
                <c:pt idx="4">
                  <c:v>43265.208333333336</c:v>
                </c:pt>
                <c:pt idx="5">
                  <c:v>43265.25</c:v>
                </c:pt>
                <c:pt idx="6">
                  <c:v>43265.291666666664</c:v>
                </c:pt>
                <c:pt idx="7">
                  <c:v>43265.333333333336</c:v>
                </c:pt>
                <c:pt idx="8">
                  <c:v>43265.375</c:v>
                </c:pt>
                <c:pt idx="9">
                  <c:v>43265.416666666664</c:v>
                </c:pt>
                <c:pt idx="10">
                  <c:v>43265.458333333336</c:v>
                </c:pt>
                <c:pt idx="11">
                  <c:v>43265.5</c:v>
                </c:pt>
                <c:pt idx="12">
                  <c:v>43265.541666666664</c:v>
                </c:pt>
                <c:pt idx="13">
                  <c:v>43265.583333333336</c:v>
                </c:pt>
                <c:pt idx="14">
                  <c:v>43265.625</c:v>
                </c:pt>
                <c:pt idx="15">
                  <c:v>43265.666666666664</c:v>
                </c:pt>
                <c:pt idx="16">
                  <c:v>43265.708333333336</c:v>
                </c:pt>
                <c:pt idx="17">
                  <c:v>43265.75</c:v>
                </c:pt>
                <c:pt idx="18">
                  <c:v>43265.791666666664</c:v>
                </c:pt>
                <c:pt idx="19">
                  <c:v>43265.833333333336</c:v>
                </c:pt>
                <c:pt idx="20">
                  <c:v>43265.875</c:v>
                </c:pt>
                <c:pt idx="21">
                  <c:v>43265.916666666664</c:v>
                </c:pt>
                <c:pt idx="22">
                  <c:v>43265.958333333336</c:v>
                </c:pt>
                <c:pt idx="23">
                  <c:v>43266</c:v>
                </c:pt>
              </c:numCache>
            </c:numRef>
          </c:cat>
          <c:val>
            <c:numRef>
              <c:f>IO!$AM$5:$AM$28</c:f>
              <c:numCache>
                <c:formatCode>General</c:formatCode>
                <c:ptCount val="24"/>
                <c:pt idx="0">
                  <c:v>2.0122429094914316</c:v>
                </c:pt>
                <c:pt idx="1">
                  <c:v>0.84726017241744489</c:v>
                </c:pt>
                <c:pt idx="2">
                  <c:v>1.1649827370739867</c:v>
                </c:pt>
                <c:pt idx="3">
                  <c:v>1.4827053017305287</c:v>
                </c:pt>
                <c:pt idx="4">
                  <c:v>1.5886128232827095</c:v>
                </c:pt>
                <c:pt idx="5">
                  <c:v>3.4949482112219608</c:v>
                </c:pt>
                <c:pt idx="6">
                  <c:v>9.3198618965918953</c:v>
                </c:pt>
                <c:pt idx="7">
                  <c:v>11.332104806083327</c:v>
                </c:pt>
                <c:pt idx="8">
                  <c:v>10.273029590561521</c:v>
                </c:pt>
                <c:pt idx="9">
                  <c:v>8.8962318103831741</c:v>
                </c:pt>
                <c:pt idx="10">
                  <c:v>9.5316769396962577</c:v>
                </c:pt>
                <c:pt idx="11">
                  <c:v>10.908474719874606</c:v>
                </c:pt>
                <c:pt idx="12">
                  <c:v>12.708902586261676</c:v>
                </c:pt>
                <c:pt idx="13">
                  <c:v>10.802567198322423</c:v>
                </c:pt>
                <c:pt idx="14">
                  <c:v>9.9553070259049807</c:v>
                </c:pt>
                <c:pt idx="15">
                  <c:v>10.908474719874604</c:v>
                </c:pt>
                <c:pt idx="16">
                  <c:v>9.5316769396962577</c:v>
                </c:pt>
                <c:pt idx="17">
                  <c:v>8.4726017241744493</c:v>
                </c:pt>
                <c:pt idx="18">
                  <c:v>14.615237974200927</c:v>
                </c:pt>
                <c:pt idx="19">
                  <c:v>10.802567198322425</c:v>
                </c:pt>
                <c:pt idx="20">
                  <c:v>11.967549935396409</c:v>
                </c:pt>
                <c:pt idx="21">
                  <c:v>14.344114719027345</c:v>
                </c:pt>
                <c:pt idx="22">
                  <c:v>10.06121454745716</c:v>
                </c:pt>
                <c:pt idx="23">
                  <c:v>4.9776535129524877</c:v>
                </c:pt>
              </c:numCache>
            </c:numRef>
          </c:val>
          <c:smooth val="0"/>
          <c:extLst>
            <c:ext xmlns:c16="http://schemas.microsoft.com/office/drawing/2014/chart" uri="{C3380CC4-5D6E-409C-BE32-E72D297353CC}">
              <c16:uniqueId val="{00000003-EBFD-4AF0-9B83-51639E74958E}"/>
            </c:ext>
          </c:extLst>
        </c:ser>
        <c:dLbls>
          <c:showLegendKey val="0"/>
          <c:showVal val="0"/>
          <c:showCatName val="0"/>
          <c:showSerName val="0"/>
          <c:showPercent val="0"/>
          <c:showBubbleSize val="0"/>
        </c:dLbls>
        <c:marker val="1"/>
        <c:smooth val="0"/>
        <c:axId val="747606104"/>
        <c:axId val="747604464"/>
      </c:lineChart>
      <c:lineChart>
        <c:grouping val="standard"/>
        <c:varyColors val="0"/>
        <c:ser>
          <c:idx val="6"/>
          <c:order val="6"/>
          <c:tx>
            <c:strRef>
              <c:f>IO!$AS$4</c:f>
              <c:strCache>
                <c:ptCount val="1"/>
                <c:pt idx="0">
                  <c:v>cap</c:v>
                </c:pt>
              </c:strCache>
            </c:strRef>
          </c:tx>
          <c:spPr>
            <a:ln w="41275" cap="rnd">
              <a:solidFill>
                <a:srgbClr val="70AD47">
                  <a:lumMod val="60000"/>
                  <a:lumOff val="40000"/>
                </a:srgbClr>
              </a:solidFill>
              <a:round/>
            </a:ln>
            <a:effectLst>
              <a:glow rad="190500">
                <a:srgbClr val="4472C4">
                  <a:alpha val="40000"/>
                </a:srgbClr>
              </a:glow>
            </a:effectLst>
          </c:spPr>
          <c:marker>
            <c:symbol val="none"/>
          </c:marker>
          <c:cat>
            <c:numRef>
              <c:f>IO!$X$3:$X$26</c:f>
              <c:numCache>
                <c:formatCode>[$-F400]h:mm:ss\ AM/PM</c:formatCode>
                <c:ptCount val="24"/>
                <c:pt idx="0">
                  <c:v>43265.041666666664</c:v>
                </c:pt>
                <c:pt idx="1">
                  <c:v>43265.083333333336</c:v>
                </c:pt>
                <c:pt idx="2">
                  <c:v>43265.125</c:v>
                </c:pt>
                <c:pt idx="3">
                  <c:v>43265.166666666664</c:v>
                </c:pt>
                <c:pt idx="4">
                  <c:v>43265.208333333336</c:v>
                </c:pt>
                <c:pt idx="5">
                  <c:v>43265.25</c:v>
                </c:pt>
                <c:pt idx="6">
                  <c:v>43265.291666666664</c:v>
                </c:pt>
                <c:pt idx="7">
                  <c:v>43265.333333333336</c:v>
                </c:pt>
                <c:pt idx="8">
                  <c:v>43265.375</c:v>
                </c:pt>
                <c:pt idx="9">
                  <c:v>43265.416666666664</c:v>
                </c:pt>
                <c:pt idx="10">
                  <c:v>43265.458333333336</c:v>
                </c:pt>
                <c:pt idx="11">
                  <c:v>43265.5</c:v>
                </c:pt>
                <c:pt idx="12">
                  <c:v>43265.541666666664</c:v>
                </c:pt>
                <c:pt idx="13">
                  <c:v>43265.583333333336</c:v>
                </c:pt>
                <c:pt idx="14">
                  <c:v>43265.625</c:v>
                </c:pt>
                <c:pt idx="15">
                  <c:v>43265.666666666664</c:v>
                </c:pt>
                <c:pt idx="16">
                  <c:v>43265.708333333336</c:v>
                </c:pt>
                <c:pt idx="17">
                  <c:v>43265.75</c:v>
                </c:pt>
                <c:pt idx="18">
                  <c:v>43265.791666666664</c:v>
                </c:pt>
                <c:pt idx="19">
                  <c:v>43265.833333333336</c:v>
                </c:pt>
                <c:pt idx="20">
                  <c:v>43265.875</c:v>
                </c:pt>
                <c:pt idx="21">
                  <c:v>43265.916666666664</c:v>
                </c:pt>
                <c:pt idx="22">
                  <c:v>43265.958333333336</c:v>
                </c:pt>
                <c:pt idx="23">
                  <c:v>43266</c:v>
                </c:pt>
              </c:numCache>
            </c:numRef>
          </c:cat>
          <c:val>
            <c:numRef>
              <c:f>IO!$AS$5:$AS$28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4-EBFD-4AF0-9B83-51639E74958E}"/>
            </c:ext>
          </c:extLst>
        </c:ser>
        <c:dLbls>
          <c:showLegendKey val="0"/>
          <c:showVal val="0"/>
          <c:showCatName val="0"/>
          <c:showSerName val="0"/>
          <c:showPercent val="0"/>
          <c:showBubbleSize val="0"/>
        </c:dLbls>
        <c:marker val="1"/>
        <c:smooth val="0"/>
        <c:axId val="624563048"/>
        <c:axId val="624559440"/>
      </c:lineChart>
      <c:catAx>
        <c:axId val="747606104"/>
        <c:scaling>
          <c:orientation val="minMax"/>
        </c:scaling>
        <c:delete val="0"/>
        <c:axPos val="b"/>
        <c:numFmt formatCode="[$-F400]h:mm:ss\ AM/PM" sourceLinked="1"/>
        <c:majorTickMark val="none"/>
        <c:minorTickMark val="none"/>
        <c:tickLblPos val="low"/>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1800" b="0" i="0" u="none" strike="noStrike" kern="1200" baseline="0">
                <a:solidFill>
                  <a:schemeClr val="lt1">
                    <a:lumMod val="85000"/>
                  </a:schemeClr>
                </a:solidFill>
                <a:latin typeface="+mn-lt"/>
                <a:ea typeface="+mn-ea"/>
                <a:cs typeface="+mn-cs"/>
              </a:defRPr>
            </a:pPr>
            <a:endParaRPr lang="de-DE"/>
          </a:p>
        </c:txPr>
        <c:crossAx val="747604464"/>
        <c:crosses val="autoZero"/>
        <c:auto val="1"/>
        <c:lblAlgn val="ctr"/>
        <c:lblOffset val="100"/>
        <c:noMultiLvlLbl val="0"/>
      </c:catAx>
      <c:valAx>
        <c:axId val="7476044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de-DE"/>
          </a:p>
        </c:txPr>
        <c:crossAx val="747606104"/>
        <c:crosses val="autoZero"/>
        <c:crossBetween val="between"/>
      </c:valAx>
      <c:valAx>
        <c:axId val="6245594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de-DE"/>
          </a:p>
        </c:txPr>
        <c:crossAx val="624563048"/>
        <c:crosses val="max"/>
        <c:crossBetween val="between"/>
      </c:valAx>
      <c:catAx>
        <c:axId val="624563048"/>
        <c:scaling>
          <c:orientation val="minMax"/>
        </c:scaling>
        <c:delete val="1"/>
        <c:axPos val="b"/>
        <c:numFmt formatCode="[$-F400]h:mm:ss\ AM/PM" sourceLinked="1"/>
        <c:majorTickMark val="out"/>
        <c:minorTickMark val="none"/>
        <c:tickLblPos val="nextTo"/>
        <c:crossAx val="624559440"/>
        <c:crosses val="autoZero"/>
        <c:auto val="1"/>
        <c:lblAlgn val="ctr"/>
        <c:lblOffset val="100"/>
        <c:noMultiLvlLbl val="0"/>
      </c:catAx>
      <c:spPr>
        <a:noFill/>
        <a:ln>
          <a:solidFill>
            <a:srgbClr val="70AD47">
              <a:lumMod val="40000"/>
              <a:lumOff val="60000"/>
            </a:srgbClr>
          </a:solidFill>
        </a:ln>
        <a:effectLst/>
      </c:spPr>
    </c:plotArea>
    <c:legend>
      <c:legendPos val="b"/>
      <c:layout>
        <c:manualLayout>
          <c:xMode val="edge"/>
          <c:yMode val="edge"/>
          <c:x val="7.4838319117365881E-2"/>
          <c:y val="3.8840803210720681E-3"/>
          <c:w val="0.54212681127789575"/>
          <c:h val="4.8867482270394481E-2"/>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Agent 1</a:t>
            </a:r>
          </a:p>
        </c:rich>
      </c:tx>
      <c:layout>
        <c:manualLayout>
          <c:xMode val="edge"/>
          <c:yMode val="edge"/>
          <c:x val="0.88126831978539932"/>
          <c:y val="2.1799461639667388E-2"/>
        </c:manualLayout>
      </c:layout>
      <c:overlay val="0"/>
      <c:spPr>
        <a:noFill/>
        <a:ln>
          <a:solidFill>
            <a:sysClr val="window" lastClr="FFFFFF"/>
          </a:solid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1344661880500233E-2"/>
          <c:y val="4.0288713910761165E-2"/>
          <c:w val="0.90554537778760269"/>
          <c:h val="0.69501500423196272"/>
        </c:manualLayout>
      </c:layout>
      <c:barChart>
        <c:barDir val="col"/>
        <c:grouping val="stacked"/>
        <c:varyColors val="0"/>
        <c:ser>
          <c:idx val="0"/>
          <c:order val="0"/>
          <c:tx>
            <c:strRef>
              <c:f>MA!$E$3</c:f>
              <c:strCache>
                <c:ptCount val="1"/>
                <c:pt idx="0">
                  <c:v>req_neg</c:v>
                </c:pt>
              </c:strCache>
            </c:strRef>
          </c:tx>
          <c:spPr>
            <a:pattFill prst="wdDnDiag">
              <a:fgClr>
                <a:srgbClr val="4472C4"/>
              </a:fgClr>
              <a:bgClr>
                <a:sysClr val="window" lastClr="FFFFFF"/>
              </a:bgClr>
            </a:pattFill>
            <a:ln>
              <a:noFill/>
            </a:ln>
            <a:effectLst>
              <a:outerShdw blurRad="57150" dist="19050" dir="5400000" algn="ctr" rotWithShape="0">
                <a:srgbClr val="000000">
                  <a:alpha val="63000"/>
                </a:srgbClr>
              </a:outerShdw>
            </a:effectLst>
          </c:spPr>
          <c:invertIfNegative val="0"/>
          <c:cat>
            <c:numRef>
              <c:f>IO!$AL$5:$AL$28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MA!$E$4:$E$27</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36C-4593-9C72-B1D51A90BB73}"/>
            </c:ext>
          </c:extLst>
        </c:ser>
        <c:ser>
          <c:idx val="1"/>
          <c:order val="1"/>
          <c:tx>
            <c:strRef>
              <c:f>MA!$F$3</c:f>
              <c:strCache>
                <c:ptCount val="1"/>
                <c:pt idx="0">
                  <c:v>req_pos</c:v>
                </c:pt>
              </c:strCache>
            </c:strRef>
          </c:tx>
          <c:spPr>
            <a:pattFill prst="wdDnDiag">
              <a:fgClr>
                <a:srgbClr val="4472C4"/>
              </a:fgClr>
              <a:bgClr>
                <a:sysClr val="window" lastClr="FFFFFF"/>
              </a:bgClr>
            </a:pattFill>
            <a:ln>
              <a:noFill/>
            </a:ln>
            <a:effectLst>
              <a:outerShdw blurRad="57150" dist="19050" dir="5400000" algn="ctr" rotWithShape="0">
                <a:srgbClr val="000000">
                  <a:alpha val="63000"/>
                </a:srgbClr>
              </a:outerShdw>
            </a:effectLst>
          </c:spPr>
          <c:invertIfNegative val="0"/>
          <c:cat>
            <c:numRef>
              <c:f>IO!$AL$5:$AL$28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MA!$F$4:$F$27</c:f>
              <c:numCache>
                <c:formatCode>General</c:formatCode>
                <c:ptCount val="24"/>
                <c:pt idx="0">
                  <c:v>0</c:v>
                </c:pt>
                <c:pt idx="1">
                  <c:v>0</c:v>
                </c:pt>
                <c:pt idx="2">
                  <c:v>6</c:v>
                </c:pt>
                <c:pt idx="3">
                  <c:v>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6</c:v>
                </c:pt>
                <c:pt idx="21">
                  <c:v>6</c:v>
                </c:pt>
                <c:pt idx="22">
                  <c:v>0</c:v>
                </c:pt>
                <c:pt idx="23">
                  <c:v>0</c:v>
                </c:pt>
              </c:numCache>
            </c:numRef>
          </c:val>
          <c:extLst>
            <c:ext xmlns:c16="http://schemas.microsoft.com/office/drawing/2014/chart" uri="{C3380CC4-5D6E-409C-BE32-E72D297353CC}">
              <c16:uniqueId val="{00000001-A36C-4593-9C72-B1D51A90BB73}"/>
            </c:ext>
          </c:extLst>
        </c:ser>
        <c:dLbls>
          <c:showLegendKey val="0"/>
          <c:showVal val="0"/>
          <c:showCatName val="0"/>
          <c:showSerName val="0"/>
          <c:showPercent val="0"/>
          <c:showBubbleSize val="0"/>
        </c:dLbls>
        <c:gapWidth val="150"/>
        <c:overlap val="100"/>
        <c:axId val="747606104"/>
        <c:axId val="747604464"/>
      </c:barChart>
      <c:catAx>
        <c:axId val="747606104"/>
        <c:scaling>
          <c:orientation val="minMax"/>
        </c:scaling>
        <c:delete val="0"/>
        <c:axPos val="b"/>
        <c:numFmt formatCode="General" sourceLinked="1"/>
        <c:majorTickMark val="none"/>
        <c:minorTickMark val="none"/>
        <c:tickLblPos val="low"/>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2000" b="0" i="0" u="none" strike="noStrike" kern="1200" baseline="0">
                <a:solidFill>
                  <a:schemeClr val="lt1">
                    <a:lumMod val="85000"/>
                  </a:schemeClr>
                </a:solidFill>
                <a:latin typeface="+mn-lt"/>
                <a:ea typeface="+mn-ea"/>
                <a:cs typeface="+mn-cs"/>
              </a:defRPr>
            </a:pPr>
            <a:endParaRPr lang="de-DE"/>
          </a:p>
        </c:txPr>
        <c:crossAx val="747604464"/>
        <c:crosses val="autoZero"/>
        <c:auto val="1"/>
        <c:lblAlgn val="ctr"/>
        <c:lblOffset val="100"/>
        <c:noMultiLvlLbl val="0"/>
      </c:catAx>
      <c:valAx>
        <c:axId val="7476044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de-DE"/>
          </a:p>
        </c:txPr>
        <c:crossAx val="747606104"/>
        <c:crosses val="autoZero"/>
        <c:crossBetween val="between"/>
      </c:valAx>
      <c:spPr>
        <a:noFill/>
        <a:ln>
          <a:noFill/>
        </a:ln>
        <a:effectLst/>
      </c:spPr>
    </c:plotArea>
    <c:legend>
      <c:legendPos val="b"/>
      <c:layout>
        <c:manualLayout>
          <c:xMode val="edge"/>
          <c:yMode val="edge"/>
          <c:x val="2.8374948610037146E-2"/>
          <c:y val="1.0620780361933237E-2"/>
          <c:w val="0.16288151549612057"/>
          <c:h val="9.3698097520418647E-2"/>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Agent 1</a:t>
            </a:r>
          </a:p>
        </c:rich>
      </c:tx>
      <c:layout>
        <c:manualLayout>
          <c:xMode val="edge"/>
          <c:yMode val="edge"/>
          <c:x val="0.88363085634308369"/>
          <c:y val="3.2393905813571031E-3"/>
        </c:manualLayout>
      </c:layout>
      <c:overlay val="0"/>
      <c:spPr>
        <a:noFill/>
        <a:ln>
          <a:solidFill>
            <a:sysClr val="window" lastClr="FFFFFF"/>
          </a:solid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1446935956807221E-2"/>
          <c:y val="6.8363257097549396E-2"/>
          <c:w val="0.9091418707946497"/>
          <c:h val="0.77644825309486143"/>
        </c:manualLayout>
      </c:layout>
      <c:barChart>
        <c:barDir val="col"/>
        <c:grouping val="stacked"/>
        <c:varyColors val="0"/>
        <c:ser>
          <c:idx val="4"/>
          <c:order val="0"/>
          <c:tx>
            <c:strRef>
              <c:f>IO!$AT$4</c:f>
              <c:strCache>
                <c:ptCount val="1"/>
                <c:pt idx="0">
                  <c:v>char</c:v>
                </c:pt>
              </c:strCache>
            </c:strRef>
          </c:tx>
          <c:spPr>
            <a:solidFill>
              <a:srgbClr val="70AD47">
                <a:lumMod val="60000"/>
                <a:lumOff val="40000"/>
              </a:srgbClr>
            </a:solidFill>
            <a:ln w="15875">
              <a:solidFill>
                <a:srgbClr val="2B133D"/>
              </a:solidFill>
            </a:ln>
            <a:effectLst>
              <a:outerShdw blurRad="57150" dist="19050" dir="5400000" algn="ctr" rotWithShape="0">
                <a:srgbClr val="000000">
                  <a:alpha val="63000"/>
                </a:srgbClr>
              </a:outerShdw>
            </a:effectLst>
          </c:spPr>
          <c:invertIfNegative val="0"/>
          <c:cat>
            <c:numRef>
              <c:f>IO!$AL$5:$AL$28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IO!$AT$5:$AT$28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3-D39B-4079-BBB2-A08CC38D762D}"/>
            </c:ext>
          </c:extLst>
        </c:ser>
        <c:ser>
          <c:idx val="3"/>
          <c:order val="1"/>
          <c:tx>
            <c:strRef>
              <c:f>IO!$AU$4</c:f>
              <c:strCache>
                <c:ptCount val="1"/>
                <c:pt idx="0">
                  <c:v>dis</c:v>
                </c:pt>
              </c:strCache>
            </c:strRef>
          </c:tx>
          <c:spPr>
            <a:solidFill>
              <a:srgbClr val="70AD47">
                <a:lumMod val="50000"/>
              </a:srgbClr>
            </a:solidFill>
            <a:ln>
              <a:solidFill>
                <a:srgbClr val="C5D8FF"/>
              </a:solidFill>
            </a:ln>
            <a:effectLst>
              <a:outerShdw blurRad="57150" dist="19050" dir="5400000" algn="ctr" rotWithShape="0">
                <a:srgbClr val="000000">
                  <a:alpha val="63000"/>
                </a:srgbClr>
              </a:outerShdw>
            </a:effectLst>
          </c:spPr>
          <c:invertIfNegative val="0"/>
          <c:cat>
            <c:numRef>
              <c:f>IO!$AL$5:$AL$28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IO!$AU$5:$AU$28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D39B-4079-BBB2-A08CC38D762D}"/>
            </c:ext>
          </c:extLst>
        </c:ser>
        <c:dLbls>
          <c:showLegendKey val="0"/>
          <c:showVal val="0"/>
          <c:showCatName val="0"/>
          <c:showSerName val="0"/>
          <c:showPercent val="0"/>
          <c:showBubbleSize val="0"/>
        </c:dLbls>
        <c:gapWidth val="150"/>
        <c:overlap val="100"/>
        <c:axId val="747606104"/>
        <c:axId val="747604464"/>
      </c:barChart>
      <c:lineChart>
        <c:grouping val="standard"/>
        <c:varyColors val="0"/>
        <c:ser>
          <c:idx val="6"/>
          <c:order val="2"/>
          <c:tx>
            <c:strRef>
              <c:f>IO!$AS$4</c:f>
              <c:strCache>
                <c:ptCount val="1"/>
                <c:pt idx="0">
                  <c:v>cap</c:v>
                </c:pt>
              </c:strCache>
            </c:strRef>
          </c:tx>
          <c:spPr>
            <a:ln w="41275" cap="rnd">
              <a:solidFill>
                <a:srgbClr val="70AD47">
                  <a:lumMod val="60000"/>
                  <a:lumOff val="40000"/>
                </a:srgbClr>
              </a:solidFill>
              <a:round/>
            </a:ln>
            <a:effectLst>
              <a:glow rad="190500">
                <a:srgbClr val="4472C4">
                  <a:alpha val="40000"/>
                </a:srgbClr>
              </a:glow>
            </a:effectLst>
          </c:spPr>
          <c:marker>
            <c:symbol val="none"/>
          </c:marker>
          <c:cat>
            <c:numRef>
              <c:f>IO!$X$3:$X$26</c:f>
              <c:numCache>
                <c:formatCode>[$-F400]h:mm:ss\ AM/PM</c:formatCode>
                <c:ptCount val="24"/>
                <c:pt idx="0">
                  <c:v>43265.041666666664</c:v>
                </c:pt>
                <c:pt idx="1">
                  <c:v>43265.083333333336</c:v>
                </c:pt>
                <c:pt idx="2">
                  <c:v>43265.125</c:v>
                </c:pt>
                <c:pt idx="3">
                  <c:v>43265.166666666664</c:v>
                </c:pt>
                <c:pt idx="4">
                  <c:v>43265.208333333336</c:v>
                </c:pt>
                <c:pt idx="5">
                  <c:v>43265.25</c:v>
                </c:pt>
                <c:pt idx="6">
                  <c:v>43265.291666666664</c:v>
                </c:pt>
                <c:pt idx="7">
                  <c:v>43265.333333333336</c:v>
                </c:pt>
                <c:pt idx="8">
                  <c:v>43265.375</c:v>
                </c:pt>
                <c:pt idx="9">
                  <c:v>43265.416666666664</c:v>
                </c:pt>
                <c:pt idx="10">
                  <c:v>43265.458333333336</c:v>
                </c:pt>
                <c:pt idx="11">
                  <c:v>43265.5</c:v>
                </c:pt>
                <c:pt idx="12">
                  <c:v>43265.541666666664</c:v>
                </c:pt>
                <c:pt idx="13">
                  <c:v>43265.583333333336</c:v>
                </c:pt>
                <c:pt idx="14">
                  <c:v>43265.625</c:v>
                </c:pt>
                <c:pt idx="15">
                  <c:v>43265.666666666664</c:v>
                </c:pt>
                <c:pt idx="16">
                  <c:v>43265.708333333336</c:v>
                </c:pt>
                <c:pt idx="17">
                  <c:v>43265.75</c:v>
                </c:pt>
                <c:pt idx="18">
                  <c:v>43265.791666666664</c:v>
                </c:pt>
                <c:pt idx="19">
                  <c:v>43265.833333333336</c:v>
                </c:pt>
                <c:pt idx="20">
                  <c:v>43265.875</c:v>
                </c:pt>
                <c:pt idx="21">
                  <c:v>43265.916666666664</c:v>
                </c:pt>
                <c:pt idx="22">
                  <c:v>43265.958333333336</c:v>
                </c:pt>
                <c:pt idx="23">
                  <c:v>43266</c:v>
                </c:pt>
              </c:numCache>
            </c:numRef>
          </c:cat>
          <c:val>
            <c:numRef>
              <c:f>IO!$AS$5:$AS$28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6-D39B-4079-BBB2-A08CC38D762D}"/>
            </c:ext>
          </c:extLst>
        </c:ser>
        <c:dLbls>
          <c:showLegendKey val="0"/>
          <c:showVal val="0"/>
          <c:showCatName val="0"/>
          <c:showSerName val="0"/>
          <c:showPercent val="0"/>
          <c:showBubbleSize val="0"/>
        </c:dLbls>
        <c:marker val="1"/>
        <c:smooth val="0"/>
        <c:axId val="624563048"/>
        <c:axId val="624559440"/>
      </c:lineChart>
      <c:catAx>
        <c:axId val="747606104"/>
        <c:scaling>
          <c:orientation val="minMax"/>
        </c:scaling>
        <c:delete val="0"/>
        <c:axPos val="b"/>
        <c:numFmt formatCode="General" sourceLinked="1"/>
        <c:majorTickMark val="none"/>
        <c:minorTickMark val="none"/>
        <c:tickLblPos val="low"/>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1800" b="0" i="0" u="none" strike="noStrike" kern="1200" baseline="0">
                <a:solidFill>
                  <a:schemeClr val="lt1">
                    <a:lumMod val="85000"/>
                  </a:schemeClr>
                </a:solidFill>
                <a:latin typeface="+mn-lt"/>
                <a:ea typeface="+mn-ea"/>
                <a:cs typeface="+mn-cs"/>
              </a:defRPr>
            </a:pPr>
            <a:endParaRPr lang="de-DE"/>
          </a:p>
        </c:txPr>
        <c:crossAx val="747604464"/>
        <c:crosses val="autoZero"/>
        <c:auto val="1"/>
        <c:lblAlgn val="ctr"/>
        <c:lblOffset val="100"/>
        <c:noMultiLvlLbl val="0"/>
      </c:catAx>
      <c:valAx>
        <c:axId val="7476044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de-DE"/>
          </a:p>
        </c:txPr>
        <c:crossAx val="747606104"/>
        <c:crosses val="autoZero"/>
        <c:crossBetween val="between"/>
      </c:valAx>
      <c:valAx>
        <c:axId val="6245594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de-DE"/>
          </a:p>
        </c:txPr>
        <c:crossAx val="624563048"/>
        <c:crosses val="max"/>
        <c:crossBetween val="between"/>
      </c:valAx>
      <c:catAx>
        <c:axId val="624563048"/>
        <c:scaling>
          <c:orientation val="minMax"/>
        </c:scaling>
        <c:delete val="1"/>
        <c:axPos val="b"/>
        <c:numFmt formatCode="[$-F400]h:mm:ss\ AM/PM" sourceLinked="1"/>
        <c:majorTickMark val="out"/>
        <c:minorTickMark val="none"/>
        <c:tickLblPos val="nextTo"/>
        <c:crossAx val="624559440"/>
        <c:crosses val="autoZero"/>
        <c:auto val="1"/>
        <c:lblAlgn val="ctr"/>
        <c:lblOffset val="100"/>
        <c:noMultiLvlLbl val="0"/>
      </c:catAx>
      <c:spPr>
        <a:noFill/>
        <a:ln>
          <a:noFill/>
        </a:ln>
        <a:effectLst/>
      </c:spPr>
    </c:plotArea>
    <c:legend>
      <c:legendPos val="b"/>
      <c:layout>
        <c:manualLayout>
          <c:xMode val="edge"/>
          <c:yMode val="edge"/>
          <c:x val="7.4838319117365881E-2"/>
          <c:y val="3.8840803210720681E-3"/>
          <c:w val="0.54212681127789575"/>
          <c:h val="4.8867482270394481E-2"/>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13</xdr:row>
          <xdr:rowOff>0</xdr:rowOff>
        </xdr:from>
        <xdr:to>
          <xdr:col>4</xdr:col>
          <xdr:colOff>0</xdr:colOff>
          <xdr:row>16</xdr:row>
          <xdr:rowOff>83820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Open Input Mask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13</xdr:row>
          <xdr:rowOff>0</xdr:rowOff>
        </xdr:from>
        <xdr:to>
          <xdr:col>8</xdr:col>
          <xdr:colOff>0</xdr:colOff>
          <xdr:row>16</xdr:row>
          <xdr:rowOff>83820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Update Timeseries</a:t>
              </a:r>
            </a:p>
          </xdr:txBody>
        </xdr:sp>
        <xdr:clientData fPrintsWithSheet="0"/>
      </xdr:twoCellAnchor>
    </mc:Choice>
    <mc:Fallback/>
  </mc:AlternateContent>
  <xdr:twoCellAnchor>
    <xdr:from>
      <xdr:col>0</xdr:col>
      <xdr:colOff>0</xdr:colOff>
      <xdr:row>84</xdr:row>
      <xdr:rowOff>62346</xdr:rowOff>
    </xdr:from>
    <xdr:to>
      <xdr:col>17</xdr:col>
      <xdr:colOff>742950</xdr:colOff>
      <xdr:row>96</xdr:row>
      <xdr:rowOff>76200</xdr:rowOff>
    </xdr:to>
    <xdr:graphicFrame macro="">
      <xdr:nvGraphicFramePr>
        <xdr:cNvPr id="10" name="2">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18</xdr:col>
          <xdr:colOff>83820</xdr:colOff>
          <xdr:row>25</xdr:row>
          <xdr:rowOff>106680</xdr:rowOff>
        </xdr:from>
        <xdr:to>
          <xdr:col>20</xdr:col>
          <xdr:colOff>899160</xdr:colOff>
          <xdr:row>27</xdr:row>
          <xdr:rowOff>91440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28</xdr:row>
          <xdr:rowOff>15240</xdr:rowOff>
        </xdr:from>
        <xdr:to>
          <xdr:col>20</xdr:col>
          <xdr:colOff>899160</xdr:colOff>
          <xdr:row>29</xdr:row>
          <xdr:rowOff>167640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000-00001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30</xdr:row>
          <xdr:rowOff>99060</xdr:rowOff>
        </xdr:from>
        <xdr:to>
          <xdr:col>20</xdr:col>
          <xdr:colOff>899160</xdr:colOff>
          <xdr:row>32</xdr:row>
          <xdr:rowOff>99060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33</xdr:row>
          <xdr:rowOff>22860</xdr:rowOff>
        </xdr:from>
        <xdr:to>
          <xdr:col>20</xdr:col>
          <xdr:colOff>899160</xdr:colOff>
          <xdr:row>35</xdr:row>
          <xdr:rowOff>7620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35</xdr:row>
          <xdr:rowOff>121920</xdr:rowOff>
        </xdr:from>
        <xdr:to>
          <xdr:col>20</xdr:col>
          <xdr:colOff>899160</xdr:colOff>
          <xdr:row>37</xdr:row>
          <xdr:rowOff>106680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38</xdr:row>
          <xdr:rowOff>45720</xdr:rowOff>
        </xdr:from>
        <xdr:to>
          <xdr:col>20</xdr:col>
          <xdr:colOff>906780</xdr:colOff>
          <xdr:row>40</xdr:row>
          <xdr:rowOff>38100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40</xdr:row>
          <xdr:rowOff>160020</xdr:rowOff>
        </xdr:from>
        <xdr:to>
          <xdr:col>20</xdr:col>
          <xdr:colOff>899160</xdr:colOff>
          <xdr:row>42</xdr:row>
          <xdr:rowOff>137160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000-00001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43</xdr:row>
          <xdr:rowOff>76200</xdr:rowOff>
        </xdr:from>
        <xdr:to>
          <xdr:col>20</xdr:col>
          <xdr:colOff>899160</xdr:colOff>
          <xdr:row>45</xdr:row>
          <xdr:rowOff>53340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45</xdr:row>
          <xdr:rowOff>167640</xdr:rowOff>
        </xdr:from>
        <xdr:to>
          <xdr:col>20</xdr:col>
          <xdr:colOff>906780</xdr:colOff>
          <xdr:row>47</xdr:row>
          <xdr:rowOff>137160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000-00001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48</xdr:row>
          <xdr:rowOff>76200</xdr:rowOff>
        </xdr:from>
        <xdr:to>
          <xdr:col>20</xdr:col>
          <xdr:colOff>906780</xdr:colOff>
          <xdr:row>50</xdr:row>
          <xdr:rowOff>45720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000-00001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121920</xdr:colOff>
          <xdr:row>6</xdr:row>
          <xdr:rowOff>167640</xdr:rowOff>
        </xdr:from>
        <xdr:to>
          <xdr:col>20</xdr:col>
          <xdr:colOff>845820</xdr:colOff>
          <xdr:row>8</xdr:row>
          <xdr:rowOff>137160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000-00001D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Nightuser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129540</xdr:colOff>
          <xdr:row>2</xdr:row>
          <xdr:rowOff>114300</xdr:rowOff>
        </xdr:from>
        <xdr:to>
          <xdr:col>20</xdr:col>
          <xdr:colOff>861060</xdr:colOff>
          <xdr:row>4</xdr:row>
          <xdr:rowOff>91440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000-00001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Standarduser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121920</xdr:colOff>
          <xdr:row>4</xdr:row>
          <xdr:rowOff>129540</xdr:rowOff>
        </xdr:from>
        <xdr:to>
          <xdr:col>20</xdr:col>
          <xdr:colOff>845820</xdr:colOff>
          <xdr:row>6</xdr:row>
          <xdr:rowOff>114300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Fuzzyuser</a:t>
              </a:r>
            </a:p>
          </xdr:txBody>
        </xdr:sp>
        <xdr:clientData fPrintsWithSheet="0"/>
      </xdr:twoCellAnchor>
    </mc:Choice>
    <mc:Fallback/>
  </mc:AlternateContent>
  <xdr:twoCellAnchor>
    <xdr:from>
      <xdr:col>7</xdr:col>
      <xdr:colOff>909207</xdr:colOff>
      <xdr:row>0</xdr:row>
      <xdr:rowOff>0</xdr:rowOff>
    </xdr:from>
    <xdr:to>
      <xdr:col>17</xdr:col>
      <xdr:colOff>756807</xdr:colOff>
      <xdr:row>16</xdr:row>
      <xdr:rowOff>97971</xdr:rowOff>
    </xdr:to>
    <xdr:graphicFrame macro="">
      <xdr:nvGraphicFramePr>
        <xdr:cNvPr id="3" name="Diagramm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18</xdr:col>
          <xdr:colOff>137160</xdr:colOff>
          <xdr:row>12</xdr:row>
          <xdr:rowOff>274320</xdr:rowOff>
        </xdr:from>
        <xdr:to>
          <xdr:col>20</xdr:col>
          <xdr:colOff>830580</xdr:colOff>
          <xdr:row>15</xdr:row>
          <xdr:rowOff>129540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000-000020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Afternoonpeak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137160</xdr:colOff>
          <xdr:row>10</xdr:row>
          <xdr:rowOff>236220</xdr:rowOff>
        </xdr:from>
        <xdr:to>
          <xdr:col>20</xdr:col>
          <xdr:colOff>830580</xdr:colOff>
          <xdr:row>12</xdr:row>
          <xdr:rowOff>220980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000-00002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Forenoonpeak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137160</xdr:colOff>
          <xdr:row>15</xdr:row>
          <xdr:rowOff>167640</xdr:rowOff>
        </xdr:from>
        <xdr:to>
          <xdr:col>20</xdr:col>
          <xdr:colOff>830580</xdr:colOff>
          <xdr:row>18</xdr:row>
          <xdr:rowOff>137160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000-000022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Noonpeak</a:t>
              </a:r>
            </a:p>
          </xdr:txBody>
        </xdr:sp>
        <xdr:clientData fPrintsWithSheet="0"/>
      </xdr:twoCellAnchor>
    </mc:Choice>
    <mc:Fallback/>
  </mc:AlternateContent>
  <xdr:twoCellAnchor>
    <xdr:from>
      <xdr:col>0</xdr:col>
      <xdr:colOff>0</xdr:colOff>
      <xdr:row>16</xdr:row>
      <xdr:rowOff>93073</xdr:rowOff>
    </xdr:from>
    <xdr:to>
      <xdr:col>17</xdr:col>
      <xdr:colOff>775854</xdr:colOff>
      <xdr:row>54</xdr:row>
      <xdr:rowOff>12701</xdr:rowOff>
    </xdr:to>
    <xdr:graphicFrame macro="">
      <xdr:nvGraphicFramePr>
        <xdr:cNvPr id="4" name="Diagramm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18</xdr:col>
          <xdr:colOff>274320</xdr:colOff>
          <xdr:row>51</xdr:row>
          <xdr:rowOff>106680</xdr:rowOff>
        </xdr:from>
        <xdr:to>
          <xdr:col>20</xdr:col>
          <xdr:colOff>731520</xdr:colOff>
          <xdr:row>54</xdr:row>
          <xdr:rowOff>38100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000-00002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AT" sz="1600" b="0" i="0" u="none" strike="noStrike" baseline="0">
                  <a:solidFill>
                    <a:srgbClr val="000000"/>
                  </a:solidFill>
                  <a:latin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20</xdr:row>
          <xdr:rowOff>0</xdr:rowOff>
        </xdr:from>
        <xdr:to>
          <xdr:col>20</xdr:col>
          <xdr:colOff>914400</xdr:colOff>
          <xdr:row>24</xdr:row>
          <xdr:rowOff>99060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000-00002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Insert Marketprice and Feed-In-Tariff Data</a:t>
              </a:r>
            </a:p>
          </xdr:txBody>
        </xdr:sp>
        <xdr:clientData fPrintsWithSheet="0"/>
      </xdr:twoCellAnchor>
    </mc:Choice>
    <mc:Fallback/>
  </mc:AlternateContent>
  <xdr:twoCellAnchor>
    <xdr:from>
      <xdr:col>0</xdr:col>
      <xdr:colOff>0</xdr:colOff>
      <xdr:row>54</xdr:row>
      <xdr:rowOff>25400</xdr:rowOff>
    </xdr:from>
    <xdr:to>
      <xdr:col>18</xdr:col>
      <xdr:colOff>12700</xdr:colOff>
      <xdr:row>70</xdr:row>
      <xdr:rowOff>38100</xdr:rowOff>
    </xdr:to>
    <xdr:graphicFrame macro="">
      <xdr:nvGraphicFramePr>
        <xdr:cNvPr id="26" name="Diagramm 25">
          <a:extLst>
            <a:ext uri="{FF2B5EF4-FFF2-40B4-BE49-F238E27FC236}">
              <a16:creationId xmlns:a16="http://schemas.microsoft.com/office/drawing/2014/main" id="{00000000-0008-0000-00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70</xdr:row>
      <xdr:rowOff>38100</xdr:rowOff>
    </xdr:from>
    <xdr:to>
      <xdr:col>17</xdr:col>
      <xdr:colOff>775854</xdr:colOff>
      <xdr:row>84</xdr:row>
      <xdr:rowOff>76200</xdr:rowOff>
    </xdr:to>
    <xdr:graphicFrame macro="">
      <xdr:nvGraphicFramePr>
        <xdr:cNvPr id="28" name="Diagramm 27">
          <a:extLst>
            <a:ext uri="{FF2B5EF4-FFF2-40B4-BE49-F238E27FC236}">
              <a16:creationId xmlns:a16="http://schemas.microsoft.com/office/drawing/2014/main" id="{00000000-0008-0000-0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100-000002000000}"/>
            </a:ext>
          </a:extLst>
        </xdr:cNvPr>
        <xdr:cNvSpPr txBox="1"/>
      </xdr:nvSpPr>
      <xdr:spPr>
        <a:xfrm>
          <a:off x="3643122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200-000002000000}"/>
            </a:ext>
          </a:extLst>
        </xdr:cNvPr>
        <xdr:cNvSpPr txBox="1"/>
      </xdr:nvSpPr>
      <xdr:spPr>
        <a:xfrm>
          <a:off x="3643122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36</xdr:col>
      <xdr:colOff>685800</xdr:colOff>
      <xdr:row>68</xdr:row>
      <xdr:rowOff>133350</xdr:rowOff>
    </xdr:from>
    <xdr:to>
      <xdr:col>41</xdr:col>
      <xdr:colOff>552450</xdr:colOff>
      <xdr:row>72</xdr:row>
      <xdr:rowOff>171450</xdr:rowOff>
    </xdr:to>
    <xdr:sp macro="" textlink="#REF!">
      <xdr:nvSpPr>
        <xdr:cNvPr id="8" name="Textfeld 7">
          <a:extLst>
            <a:ext uri="{FF2B5EF4-FFF2-40B4-BE49-F238E27FC236}">
              <a16:creationId xmlns:a16="http://schemas.microsoft.com/office/drawing/2014/main" id="{00000000-0008-0000-0300-000008000000}"/>
            </a:ext>
          </a:extLst>
        </xdr:cNvPr>
        <xdr:cNvSpPr txBox="1"/>
      </xdr:nvSpPr>
      <xdr:spPr>
        <a:xfrm>
          <a:off x="35623500" y="13277850"/>
          <a:ext cx="3867150"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4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5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6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7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8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9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A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B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38</xdr:col>
      <xdr:colOff>685800</xdr:colOff>
      <xdr:row>68</xdr:row>
      <xdr:rowOff>133350</xdr:rowOff>
    </xdr:from>
    <xdr:to>
      <xdr:col>43</xdr:col>
      <xdr:colOff>552450</xdr:colOff>
      <xdr:row>72</xdr:row>
      <xdr:rowOff>171450</xdr:rowOff>
    </xdr:to>
    <xdr:sp macro="" textlink="#REF!">
      <xdr:nvSpPr>
        <xdr:cNvPr id="2" name="Textfeld 1">
          <a:extLst>
            <a:ext uri="{FF2B5EF4-FFF2-40B4-BE49-F238E27FC236}">
              <a16:creationId xmlns:a16="http://schemas.microsoft.com/office/drawing/2014/main" id="{00000000-0008-0000-0C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D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5CEDD-55B9-4156-9C7A-DD1CAF66EB4B}">
  <sheetPr codeName="Tabelle1"/>
  <dimension ref="A1:AW113"/>
  <sheetViews>
    <sheetView tabSelected="1" topLeftCell="A10" zoomScale="55" zoomScaleNormal="55" workbookViewId="0">
      <selection activeCell="U75" sqref="U75"/>
    </sheetView>
  </sheetViews>
  <sheetFormatPr baseColWidth="10" defaultRowHeight="14.4" x14ac:dyDescent="0.3"/>
  <cols>
    <col min="1" max="1" width="19.88671875" customWidth="1"/>
    <col min="2" max="2" width="15.109375" bestFit="1" customWidth="1"/>
    <col min="3" max="3" width="21.77734375" customWidth="1"/>
    <col min="4" max="4" width="16.44140625" customWidth="1"/>
    <col min="5" max="5" width="24.5546875" bestFit="1" customWidth="1"/>
    <col min="6" max="6" width="14.44140625" customWidth="1"/>
    <col min="7" max="7" width="11.44140625" customWidth="1"/>
    <col min="8" max="8" width="13.21875" bestFit="1" customWidth="1"/>
    <col min="9" max="9" width="11.33203125" customWidth="1"/>
    <col min="20" max="20" width="11.6640625" customWidth="1"/>
    <col min="21" max="21" width="13.88671875" customWidth="1"/>
    <col min="25" max="25" width="6.88671875" customWidth="1"/>
    <col min="26" max="26" width="11.5546875" customWidth="1"/>
    <col min="30" max="30" width="17.88671875" customWidth="1"/>
    <col min="31" max="31" width="27.88671875" customWidth="1"/>
    <col min="32" max="32" width="11.77734375" customWidth="1"/>
    <col min="38" max="38" width="15.88671875" style="23" bestFit="1" customWidth="1"/>
    <col min="39" max="39" width="13.5546875" customWidth="1"/>
    <col min="46" max="46" width="17.5546875" customWidth="1"/>
  </cols>
  <sheetData>
    <row r="1" spans="1:49" ht="39.6" customHeight="1" thickBot="1" x14ac:dyDescent="0.7">
      <c r="A1" s="86">
        <v>0</v>
      </c>
      <c r="B1" s="89" t="s">
        <v>34</v>
      </c>
      <c r="C1" s="89" t="s">
        <v>55</v>
      </c>
      <c r="D1" s="89" t="s">
        <v>54</v>
      </c>
      <c r="E1" s="89" t="s">
        <v>51</v>
      </c>
      <c r="F1" s="89" t="s">
        <v>56</v>
      </c>
      <c r="G1" s="89" t="s">
        <v>49</v>
      </c>
      <c r="H1" s="84" t="s">
        <v>50</v>
      </c>
      <c r="I1" s="85" t="s">
        <v>75</v>
      </c>
      <c r="J1" s="67"/>
      <c r="K1" s="68"/>
      <c r="L1" s="67"/>
      <c r="M1" s="67"/>
      <c r="N1" s="67"/>
      <c r="O1" s="67"/>
      <c r="P1" s="67"/>
      <c r="Q1" s="67"/>
      <c r="R1" s="67"/>
      <c r="S1" s="147" t="s">
        <v>63</v>
      </c>
      <c r="T1" s="148"/>
      <c r="U1" s="149"/>
      <c r="V1" s="153"/>
      <c r="W1" s="153"/>
      <c r="X1" s="153"/>
      <c r="Y1" s="29"/>
      <c r="Z1" s="137" t="s">
        <v>80</v>
      </c>
      <c r="AA1" s="137"/>
      <c r="AB1" s="137"/>
      <c r="AC1" s="137"/>
      <c r="AD1" s="137"/>
      <c r="AE1" s="29"/>
    </row>
    <row r="2" spans="1:49" ht="21.6" thickBot="1" x14ac:dyDescent="0.45">
      <c r="A2" s="87"/>
      <c r="B2" s="90"/>
      <c r="C2" s="90"/>
      <c r="D2" s="90"/>
      <c r="E2" s="90"/>
      <c r="F2" s="90"/>
      <c r="G2" s="90"/>
      <c r="H2" s="88"/>
      <c r="I2" s="83"/>
      <c r="J2" s="64"/>
      <c r="K2" s="64"/>
      <c r="L2" s="64"/>
      <c r="M2" s="64"/>
      <c r="N2" s="64"/>
      <c r="O2" s="64"/>
      <c r="P2" s="64"/>
      <c r="Q2" s="64"/>
      <c r="R2" s="64"/>
      <c r="S2" s="150" t="s">
        <v>76</v>
      </c>
      <c r="T2" s="151"/>
      <c r="U2" s="152"/>
      <c r="V2" s="111" t="s">
        <v>28</v>
      </c>
      <c r="W2" s="112" t="s">
        <v>29</v>
      </c>
      <c r="X2" s="112" t="s">
        <v>74</v>
      </c>
      <c r="Y2" s="30"/>
      <c r="Z2" s="138" t="s">
        <v>83</v>
      </c>
      <c r="AA2" s="139"/>
      <c r="AB2" s="139"/>
      <c r="AC2" s="139"/>
      <c r="AD2" s="140"/>
      <c r="AE2" s="29"/>
      <c r="AF2" s="10" t="s">
        <v>38</v>
      </c>
    </row>
    <row r="3" spans="1:49" ht="21.6" thickBot="1" x14ac:dyDescent="0.45">
      <c r="A3" s="100" t="str">
        <f>IF(I3&gt;0,"AGENT 1","")</f>
        <v>AGENT 1</v>
      </c>
      <c r="B3" s="103">
        <v>200</v>
      </c>
      <c r="C3" s="104" t="s">
        <v>73</v>
      </c>
      <c r="D3" s="105">
        <v>89</v>
      </c>
      <c r="E3" s="106" t="s">
        <v>58</v>
      </c>
      <c r="F3" s="107">
        <f>IF(I3&gt;0,Total_Costs,"")</f>
        <v>0</v>
      </c>
      <c r="G3" s="105" t="s">
        <v>39</v>
      </c>
      <c r="H3" s="108" t="s">
        <v>81</v>
      </c>
      <c r="I3" s="14">
        <v>1</v>
      </c>
      <c r="J3" s="64"/>
      <c r="K3" s="64"/>
      <c r="L3" s="64"/>
      <c r="M3" s="64"/>
      <c r="N3" s="64"/>
      <c r="O3" s="64"/>
      <c r="P3" s="64"/>
      <c r="Q3" s="64"/>
      <c r="R3" s="64"/>
      <c r="S3" s="25"/>
      <c r="T3" s="26"/>
      <c r="U3" s="27"/>
      <c r="V3" s="119">
        <v>10</v>
      </c>
      <c r="W3" s="120">
        <v>5</v>
      </c>
      <c r="X3" s="123">
        <v>43265.041666666664</v>
      </c>
      <c r="Y3" s="30"/>
      <c r="Z3" s="141"/>
      <c r="AA3" s="142"/>
      <c r="AB3" s="142"/>
      <c r="AC3" s="142"/>
      <c r="AD3" s="143"/>
      <c r="AE3" s="29"/>
      <c r="AF3" s="79" t="s">
        <v>79</v>
      </c>
      <c r="AG3" s="80" t="s">
        <v>36</v>
      </c>
      <c r="AH3" s="81" t="s">
        <v>78</v>
      </c>
      <c r="AI3" s="80" t="s">
        <v>52</v>
      </c>
      <c r="AJ3" s="81" t="s">
        <v>53</v>
      </c>
      <c r="AK3" s="82" t="s">
        <v>37</v>
      </c>
      <c r="AL3" s="24" t="s">
        <v>61</v>
      </c>
      <c r="AM3" s="22" t="s">
        <v>26</v>
      </c>
      <c r="AN3" s="22" t="s">
        <v>25</v>
      </c>
      <c r="AO3" s="22" t="s">
        <v>28</v>
      </c>
      <c r="AP3" s="22" t="s">
        <v>29</v>
      </c>
      <c r="AQ3" s="22" t="s">
        <v>16</v>
      </c>
      <c r="AR3" s="22" t="s">
        <v>17</v>
      </c>
      <c r="AS3" s="22" t="s">
        <v>20</v>
      </c>
      <c r="AT3" s="127" t="s">
        <v>23</v>
      </c>
      <c r="AU3" s="127" t="s">
        <v>24</v>
      </c>
      <c r="AV3" t="s">
        <v>95</v>
      </c>
      <c r="AW3" t="s">
        <v>96</v>
      </c>
    </row>
    <row r="4" spans="1:49" ht="20.399999999999999" customHeight="1" thickBot="1" x14ac:dyDescent="0.45">
      <c r="A4" s="101" t="str">
        <f>IF(I4&gt;0,"AGENT 2","")</f>
        <v>AGENT 2</v>
      </c>
      <c r="B4" s="109">
        <v>98</v>
      </c>
      <c r="C4" s="76" t="s">
        <v>82</v>
      </c>
      <c r="D4" s="73">
        <v>94</v>
      </c>
      <c r="E4" s="75" t="s">
        <v>57</v>
      </c>
      <c r="F4" s="77">
        <f>IF(I4&gt;0,'a02'!Total_Costs,"")</f>
        <v>0</v>
      </c>
      <c r="G4" s="73" t="s">
        <v>40</v>
      </c>
      <c r="H4" s="78" t="s">
        <v>81</v>
      </c>
      <c r="I4" s="14">
        <v>2</v>
      </c>
      <c r="J4" s="64"/>
      <c r="K4" s="64"/>
      <c r="L4" s="64"/>
      <c r="M4" s="64"/>
      <c r="N4" s="64"/>
      <c r="O4" s="64"/>
      <c r="P4" s="64"/>
      <c r="Q4" s="64"/>
      <c r="R4" s="64"/>
      <c r="S4" s="28"/>
      <c r="T4" s="29"/>
      <c r="U4" s="30"/>
      <c r="V4" s="65">
        <v>10</v>
      </c>
      <c r="W4" s="66">
        <v>5</v>
      </c>
      <c r="X4" s="124">
        <v>43265.083333333336</v>
      </c>
      <c r="Y4" s="30"/>
      <c r="Z4" s="141"/>
      <c r="AA4" s="142"/>
      <c r="AB4" s="142"/>
      <c r="AC4" s="142"/>
      <c r="AD4" s="143"/>
      <c r="AE4" s="29"/>
      <c r="AF4" s="115" t="s">
        <v>25</v>
      </c>
      <c r="AG4" s="116" t="s">
        <v>25</v>
      </c>
      <c r="AH4" s="116" t="s">
        <v>25</v>
      </c>
      <c r="AI4" s="116" t="s">
        <v>26</v>
      </c>
      <c r="AJ4" s="116" t="s">
        <v>26</v>
      </c>
      <c r="AK4" s="117" t="s">
        <v>26</v>
      </c>
      <c r="AM4" s="57" t="s">
        <v>26</v>
      </c>
      <c r="AN4" s="57" t="s">
        <v>97</v>
      </c>
      <c r="AO4" s="57" t="s">
        <v>28</v>
      </c>
      <c r="AP4" s="57" t="s">
        <v>29</v>
      </c>
      <c r="AQ4" s="57" t="s">
        <v>16</v>
      </c>
      <c r="AR4" s="57" t="s">
        <v>17</v>
      </c>
      <c r="AS4" s="57" t="s">
        <v>20</v>
      </c>
      <c r="AT4" s="57" t="s">
        <v>23</v>
      </c>
      <c r="AU4" s="57" t="s">
        <v>24</v>
      </c>
      <c r="AV4" s="118" t="s">
        <v>95</v>
      </c>
      <c r="AW4" s="118" t="s">
        <v>96</v>
      </c>
    </row>
    <row r="5" spans="1:49" ht="21" x14ac:dyDescent="0.4">
      <c r="A5" s="101" t="str">
        <f>IF(I5&gt;0,"AGENT 3","")</f>
        <v>AGENT 3</v>
      </c>
      <c r="B5" s="109">
        <v>31</v>
      </c>
      <c r="C5" s="76" t="s">
        <v>52</v>
      </c>
      <c r="D5" s="73">
        <v>142</v>
      </c>
      <c r="E5" s="75" t="s">
        <v>59</v>
      </c>
      <c r="F5" s="77">
        <f>IF(I5&gt;0,'a03'!Total_Costs,"")</f>
        <v>0</v>
      </c>
      <c r="G5" s="73" t="s">
        <v>41</v>
      </c>
      <c r="H5" s="78" t="s">
        <v>81</v>
      </c>
      <c r="I5" s="14">
        <v>3</v>
      </c>
      <c r="J5" s="64"/>
      <c r="K5" s="64"/>
      <c r="L5" s="64"/>
      <c r="M5" s="64"/>
      <c r="N5" s="64"/>
      <c r="O5" s="64"/>
      <c r="P5" s="64"/>
      <c r="Q5" s="64"/>
      <c r="R5" s="64"/>
      <c r="S5" s="28"/>
      <c r="T5" s="29"/>
      <c r="U5" s="30"/>
      <c r="V5" s="65">
        <v>10</v>
      </c>
      <c r="W5" s="66">
        <v>5</v>
      </c>
      <c r="X5" s="124">
        <v>43265.125</v>
      </c>
      <c r="Y5" s="30"/>
      <c r="Z5" s="141"/>
      <c r="AA5" s="142"/>
      <c r="AB5" s="142"/>
      <c r="AC5" s="142"/>
      <c r="AD5" s="143"/>
      <c r="AE5" s="29"/>
      <c r="AF5" s="72">
        <v>0</v>
      </c>
      <c r="AG5" s="11">
        <v>0</v>
      </c>
      <c r="AH5" s="11">
        <v>0</v>
      </c>
      <c r="AI5" s="11">
        <v>3.8361508452535768E-2</v>
      </c>
      <c r="AJ5" s="11">
        <v>1.9484600879949715E-2</v>
      </c>
      <c r="AK5" s="11">
        <v>1.0061214547457158E-2</v>
      </c>
      <c r="AL5" s="136">
        <v>1</v>
      </c>
      <c r="AM5" s="51">
        <v>2.0122429094914316</v>
      </c>
      <c r="AN5" s="17">
        <v>0</v>
      </c>
      <c r="AO5" s="54">
        <v>10</v>
      </c>
      <c r="AP5" s="54">
        <v>5</v>
      </c>
      <c r="AQ5" s="36">
        <v>0</v>
      </c>
      <c r="AR5" s="36">
        <v>0</v>
      </c>
      <c r="AS5" s="36">
        <v>0</v>
      </c>
      <c r="AT5" s="53">
        <v>0</v>
      </c>
      <c r="AU5" s="53">
        <v>0</v>
      </c>
      <c r="AV5" s="130">
        <v>0</v>
      </c>
      <c r="AW5" s="130">
        <v>0</v>
      </c>
    </row>
    <row r="6" spans="1:49" ht="21" x14ac:dyDescent="0.4">
      <c r="A6" s="101" t="str">
        <f>IF(I6&gt;0,"AGENT 4","")</f>
        <v/>
      </c>
      <c r="B6" s="109">
        <v>59</v>
      </c>
      <c r="C6" s="76" t="s">
        <v>73</v>
      </c>
      <c r="D6" s="73">
        <v>34</v>
      </c>
      <c r="E6" s="75" t="s">
        <v>57</v>
      </c>
      <c r="F6" s="77" t="str">
        <f>IF(I6&gt;0,'a04'!Total_Costs,"")</f>
        <v/>
      </c>
      <c r="G6" s="73" t="s">
        <v>42</v>
      </c>
      <c r="H6" s="78" t="s">
        <v>81</v>
      </c>
      <c r="I6" s="14">
        <v>0</v>
      </c>
      <c r="J6" s="64"/>
      <c r="K6" s="64"/>
      <c r="L6" s="64"/>
      <c r="M6" s="64"/>
      <c r="N6" s="64"/>
      <c r="O6" s="64"/>
      <c r="P6" s="64"/>
      <c r="Q6" s="64"/>
      <c r="R6" s="64"/>
      <c r="S6" s="28"/>
      <c r="T6" s="29"/>
      <c r="U6" s="30"/>
      <c r="V6" s="65">
        <v>10</v>
      </c>
      <c r="W6" s="66">
        <v>5</v>
      </c>
      <c r="X6" s="124">
        <v>43265.166666666664</v>
      </c>
      <c r="Y6" s="30"/>
      <c r="Z6" s="141"/>
      <c r="AA6" s="142"/>
      <c r="AB6" s="142"/>
      <c r="AC6" s="142"/>
      <c r="AD6" s="143"/>
      <c r="AE6" s="29"/>
      <c r="AF6" s="72">
        <v>0</v>
      </c>
      <c r="AG6" s="11">
        <v>0</v>
      </c>
      <c r="AH6" s="11">
        <v>0</v>
      </c>
      <c r="AI6" s="11">
        <v>3.9011703511053319E-2</v>
      </c>
      <c r="AJ6" s="11">
        <v>1.2570710245128848E-2</v>
      </c>
      <c r="AK6" s="11">
        <v>4.2363008620872247E-3</v>
      </c>
      <c r="AL6" s="136">
        <v>2</v>
      </c>
      <c r="AM6" s="18">
        <v>0.84726017241744489</v>
      </c>
      <c r="AN6" s="17">
        <v>0</v>
      </c>
      <c r="AO6" s="6">
        <v>10</v>
      </c>
      <c r="AP6" s="6">
        <v>5</v>
      </c>
      <c r="AQ6" s="2">
        <v>0</v>
      </c>
      <c r="AR6" s="2">
        <v>0</v>
      </c>
      <c r="AS6" s="2">
        <v>0</v>
      </c>
      <c r="AT6" s="5">
        <v>0</v>
      </c>
      <c r="AU6" s="5">
        <v>0</v>
      </c>
      <c r="AV6" s="130">
        <v>0</v>
      </c>
      <c r="AW6" s="130">
        <v>0</v>
      </c>
    </row>
    <row r="7" spans="1:49" ht="21" x14ac:dyDescent="0.4">
      <c r="A7" s="101" t="str">
        <f>IF(I7&gt;0,"AGENT 5","")</f>
        <v/>
      </c>
      <c r="B7" s="109">
        <v>120</v>
      </c>
      <c r="C7" s="76" t="s">
        <v>82</v>
      </c>
      <c r="D7" s="73">
        <v>141</v>
      </c>
      <c r="E7" s="75" t="s">
        <v>58</v>
      </c>
      <c r="F7" s="77" t="str">
        <f>IF(I7&gt;0,'a05'!Total_Costs,"")</f>
        <v/>
      </c>
      <c r="G7" s="73" t="s">
        <v>43</v>
      </c>
      <c r="H7" s="78" t="s">
        <v>81</v>
      </c>
      <c r="I7" s="14">
        <v>0</v>
      </c>
      <c r="J7" s="64"/>
      <c r="K7" s="64"/>
      <c r="L7" s="64"/>
      <c r="M7" s="64"/>
      <c r="N7" s="64"/>
      <c r="O7" s="64"/>
      <c r="P7" s="64"/>
      <c r="Q7" s="64"/>
      <c r="R7" s="64"/>
      <c r="S7" s="28"/>
      <c r="T7" s="29"/>
      <c r="U7" s="30"/>
      <c r="V7" s="65">
        <v>10</v>
      </c>
      <c r="W7" s="66">
        <v>5</v>
      </c>
      <c r="X7" s="124">
        <v>43265.208333333336</v>
      </c>
      <c r="Y7" s="30"/>
      <c r="Z7" s="141"/>
      <c r="AA7" s="142"/>
      <c r="AB7" s="142"/>
      <c r="AC7" s="142"/>
      <c r="AD7" s="143"/>
      <c r="AE7" s="29"/>
      <c r="AF7" s="72">
        <v>0</v>
      </c>
      <c r="AG7" s="11">
        <v>0</v>
      </c>
      <c r="AH7" s="11">
        <v>0</v>
      </c>
      <c r="AI7" s="11">
        <v>2.6007802340702213E-2</v>
      </c>
      <c r="AJ7" s="11">
        <v>5.6568196103079817E-3</v>
      </c>
      <c r="AK7" s="11">
        <v>5.8249136853699337E-3</v>
      </c>
      <c r="AL7" s="136">
        <v>3</v>
      </c>
      <c r="AM7" s="18">
        <v>1.1649827370739867</v>
      </c>
      <c r="AN7" s="17">
        <v>0</v>
      </c>
      <c r="AO7" s="6">
        <v>10</v>
      </c>
      <c r="AP7" s="6">
        <v>5</v>
      </c>
      <c r="AQ7" s="2">
        <v>0</v>
      </c>
      <c r="AR7" s="2">
        <v>0</v>
      </c>
      <c r="AS7" s="2">
        <v>0</v>
      </c>
      <c r="AT7" s="5">
        <v>0</v>
      </c>
      <c r="AU7" s="5">
        <v>0</v>
      </c>
      <c r="AV7" s="130">
        <v>0</v>
      </c>
      <c r="AW7" s="130">
        <v>0</v>
      </c>
    </row>
    <row r="8" spans="1:49" ht="21" x14ac:dyDescent="0.4">
      <c r="A8" s="101" t="str">
        <f>IF(I8&gt;0,"AGENT 6","")</f>
        <v/>
      </c>
      <c r="B8" s="109">
        <v>59</v>
      </c>
      <c r="C8" s="76" t="s">
        <v>82</v>
      </c>
      <c r="D8" s="73">
        <v>91</v>
      </c>
      <c r="E8" s="75" t="s">
        <v>57</v>
      </c>
      <c r="F8" s="77" t="str">
        <f>IF(I8&gt;0,'a06'!Total_Costs,"")</f>
        <v/>
      </c>
      <c r="G8" s="73" t="s">
        <v>44</v>
      </c>
      <c r="H8" s="78" t="s">
        <v>81</v>
      </c>
      <c r="I8" s="14">
        <v>0</v>
      </c>
      <c r="J8" s="64"/>
      <c r="K8" s="64"/>
      <c r="L8" s="64"/>
      <c r="M8" s="64"/>
      <c r="N8" s="64"/>
      <c r="O8" s="64"/>
      <c r="P8" s="64"/>
      <c r="Q8" s="64"/>
      <c r="R8" s="64"/>
      <c r="S8" s="28"/>
      <c r="T8" s="29"/>
      <c r="U8" s="30"/>
      <c r="V8" s="65">
        <v>10</v>
      </c>
      <c r="W8" s="66">
        <v>5</v>
      </c>
      <c r="X8" s="124">
        <v>43265.25</v>
      </c>
      <c r="Y8" s="30"/>
      <c r="Z8" s="141"/>
      <c r="AA8" s="142"/>
      <c r="AB8" s="142"/>
      <c r="AC8" s="142"/>
      <c r="AD8" s="143"/>
      <c r="AE8" s="29"/>
      <c r="AF8" s="72">
        <v>0</v>
      </c>
      <c r="AG8" s="11">
        <v>0</v>
      </c>
      <c r="AH8" s="11">
        <v>0</v>
      </c>
      <c r="AI8" s="11">
        <v>1.6905071521456441E-2</v>
      </c>
      <c r="AJ8" s="11">
        <v>8.1709616593337517E-3</v>
      </c>
      <c r="AK8" s="11">
        <v>7.4135265086526436E-3</v>
      </c>
      <c r="AL8" s="136">
        <v>4</v>
      </c>
      <c r="AM8" s="18">
        <v>1.4827053017305287</v>
      </c>
      <c r="AN8" s="17">
        <v>0</v>
      </c>
      <c r="AO8" s="6">
        <v>10</v>
      </c>
      <c r="AP8" s="6">
        <v>5</v>
      </c>
      <c r="AQ8" s="2">
        <v>0</v>
      </c>
      <c r="AR8" s="2">
        <v>0</v>
      </c>
      <c r="AS8" s="2">
        <v>0</v>
      </c>
      <c r="AT8" s="5">
        <v>0</v>
      </c>
      <c r="AU8" s="5">
        <v>0</v>
      </c>
      <c r="AV8" s="130">
        <v>0</v>
      </c>
      <c r="AW8" s="130">
        <v>0</v>
      </c>
    </row>
    <row r="9" spans="1:49" ht="21.6" thickBot="1" x14ac:dyDescent="0.45">
      <c r="A9" s="101" t="str">
        <f>IF(I9&gt;0,"AGENT 7","")</f>
        <v/>
      </c>
      <c r="B9" s="109">
        <v>48</v>
      </c>
      <c r="C9" s="76" t="s">
        <v>73</v>
      </c>
      <c r="D9" s="73">
        <v>47</v>
      </c>
      <c r="E9" s="75" t="s">
        <v>58</v>
      </c>
      <c r="F9" s="77" t="str">
        <f>IF(I9&gt;0,'a07'!Total_Costs,"")</f>
        <v/>
      </c>
      <c r="G9" s="73" t="s">
        <v>45</v>
      </c>
      <c r="H9" s="78" t="s">
        <v>81</v>
      </c>
      <c r="I9" s="14">
        <v>0</v>
      </c>
      <c r="J9" s="64"/>
      <c r="K9" s="64"/>
      <c r="L9" s="64"/>
      <c r="M9" s="64"/>
      <c r="N9" s="64"/>
      <c r="O9" s="64"/>
      <c r="P9" s="64"/>
      <c r="Q9" s="64"/>
      <c r="R9" s="64"/>
      <c r="S9" s="28"/>
      <c r="T9" s="29"/>
      <c r="U9" s="30"/>
      <c r="V9" s="65">
        <v>10</v>
      </c>
      <c r="W9" s="66">
        <v>5</v>
      </c>
      <c r="X9" s="124">
        <v>43265.291666666664</v>
      </c>
      <c r="Y9" s="30"/>
      <c r="Z9" s="141"/>
      <c r="AA9" s="142"/>
      <c r="AB9" s="142"/>
      <c r="AC9" s="142"/>
      <c r="AD9" s="143"/>
      <c r="AE9" s="29"/>
      <c r="AF9" s="72">
        <v>0</v>
      </c>
      <c r="AG9" s="11">
        <v>0</v>
      </c>
      <c r="AH9" s="11">
        <v>0</v>
      </c>
      <c r="AI9" s="11">
        <v>1.3003901170351106E-2</v>
      </c>
      <c r="AJ9" s="11">
        <v>8.7994971715901933E-3</v>
      </c>
      <c r="AK9" s="11">
        <v>7.9430641164135469E-3</v>
      </c>
      <c r="AL9" s="136">
        <v>5</v>
      </c>
      <c r="AM9" s="18">
        <v>1.5886128232827095</v>
      </c>
      <c r="AN9" s="17">
        <v>0</v>
      </c>
      <c r="AO9" s="6">
        <v>10</v>
      </c>
      <c r="AP9" s="6">
        <v>5</v>
      </c>
      <c r="AQ9" s="2">
        <v>0</v>
      </c>
      <c r="AR9" s="2">
        <v>0</v>
      </c>
      <c r="AS9" s="2">
        <v>0</v>
      </c>
      <c r="AT9" s="5">
        <v>0</v>
      </c>
      <c r="AU9" s="5">
        <v>0</v>
      </c>
      <c r="AV9" s="130">
        <v>0</v>
      </c>
      <c r="AW9" s="130">
        <v>0</v>
      </c>
    </row>
    <row r="10" spans="1:49" ht="21.6" thickBot="1" x14ac:dyDescent="0.45">
      <c r="A10" s="101" t="str">
        <f>IF(I10&gt;0,"AGENT 8","")</f>
        <v/>
      </c>
      <c r="B10" s="109">
        <v>44</v>
      </c>
      <c r="C10" s="76" t="s">
        <v>73</v>
      </c>
      <c r="D10" s="73">
        <v>54</v>
      </c>
      <c r="E10" s="75" t="s">
        <v>57</v>
      </c>
      <c r="F10" s="77" t="str">
        <f>IF(I10&gt;0,'a08'!Total_Costs,"")</f>
        <v/>
      </c>
      <c r="G10" s="73" t="s">
        <v>46</v>
      </c>
      <c r="H10" s="78" t="s">
        <v>81</v>
      </c>
      <c r="I10" s="14">
        <v>0</v>
      </c>
      <c r="J10" s="64"/>
      <c r="K10" s="64"/>
      <c r="L10" s="64"/>
      <c r="M10" s="64"/>
      <c r="N10" s="64"/>
      <c r="O10" s="64"/>
      <c r="P10" s="64"/>
      <c r="Q10" s="64"/>
      <c r="R10" s="64"/>
      <c r="S10" s="150" t="s">
        <v>77</v>
      </c>
      <c r="T10" s="151"/>
      <c r="U10" s="152"/>
      <c r="V10" s="65">
        <v>10</v>
      </c>
      <c r="W10" s="66">
        <v>5</v>
      </c>
      <c r="X10" s="124">
        <v>43265.333333333336</v>
      </c>
      <c r="Y10" s="30"/>
      <c r="Z10" s="141"/>
      <c r="AA10" s="142"/>
      <c r="AB10" s="142"/>
      <c r="AC10" s="142"/>
      <c r="AD10" s="143"/>
      <c r="AE10" s="29"/>
      <c r="AF10" s="72">
        <v>0</v>
      </c>
      <c r="AG10" s="11">
        <v>0</v>
      </c>
      <c r="AH10" s="11">
        <v>1.0214504596527067E-3</v>
      </c>
      <c r="AI10" s="11">
        <v>1.950585175552666E-2</v>
      </c>
      <c r="AJ10" s="11">
        <v>2.5141420490257693E-2</v>
      </c>
      <c r="AK10" s="11">
        <v>1.7474741056109803E-2</v>
      </c>
      <c r="AL10" s="136">
        <v>6</v>
      </c>
      <c r="AM10" s="18">
        <v>3.4949482112219608</v>
      </c>
      <c r="AN10" s="17">
        <v>0</v>
      </c>
      <c r="AO10" s="6">
        <v>10</v>
      </c>
      <c r="AP10" s="6">
        <v>5</v>
      </c>
      <c r="AQ10" s="2">
        <v>0</v>
      </c>
      <c r="AR10" s="2">
        <v>0</v>
      </c>
      <c r="AS10" s="2">
        <v>0</v>
      </c>
      <c r="AT10" s="5">
        <v>0</v>
      </c>
      <c r="AU10" s="5">
        <v>0</v>
      </c>
      <c r="AV10" s="130">
        <v>0</v>
      </c>
      <c r="AW10" s="130">
        <v>0</v>
      </c>
    </row>
    <row r="11" spans="1:49" ht="21" x14ac:dyDescent="0.4">
      <c r="A11" s="101" t="str">
        <f>IF(I11&gt;0,"AGENT 9","")</f>
        <v/>
      </c>
      <c r="B11" s="109">
        <v>119</v>
      </c>
      <c r="C11" s="76" t="s">
        <v>52</v>
      </c>
      <c r="D11" s="73">
        <v>115</v>
      </c>
      <c r="E11" s="75" t="s">
        <v>58</v>
      </c>
      <c r="F11" s="77" t="str">
        <f>IF(I11&gt;0,'a09'!Total_Costs,"")</f>
        <v/>
      </c>
      <c r="G11" s="73" t="s">
        <v>47</v>
      </c>
      <c r="H11" s="78" t="s">
        <v>81</v>
      </c>
      <c r="I11" s="14">
        <v>0</v>
      </c>
      <c r="J11" s="64"/>
      <c r="K11" s="64"/>
      <c r="L11" s="64"/>
      <c r="M11" s="64"/>
      <c r="N11" s="64"/>
      <c r="O11" s="64"/>
      <c r="P11" s="64"/>
      <c r="Q11" s="64"/>
      <c r="R11" s="64"/>
      <c r="S11" s="25"/>
      <c r="T11" s="26"/>
      <c r="U11" s="27"/>
      <c r="V11" s="65">
        <v>10</v>
      </c>
      <c r="W11" s="66">
        <v>5</v>
      </c>
      <c r="X11" s="124">
        <v>43265.375</v>
      </c>
      <c r="Y11" s="30"/>
      <c r="Z11" s="141"/>
      <c r="AA11" s="142"/>
      <c r="AB11" s="142"/>
      <c r="AC11" s="142"/>
      <c r="AD11" s="143"/>
      <c r="AE11" s="29"/>
      <c r="AF11" s="72">
        <v>6.3626723223753987E-3</v>
      </c>
      <c r="AG11" s="11">
        <v>0</v>
      </c>
      <c r="AH11" s="11">
        <v>1.838610827374872E-2</v>
      </c>
      <c r="AI11" s="11">
        <v>1.3003901170351108E-2</v>
      </c>
      <c r="AJ11" s="11">
        <v>5.2168447517284722E-2</v>
      </c>
      <c r="AK11" s="11">
        <v>4.6599309482959476E-2</v>
      </c>
      <c r="AL11" s="136">
        <v>7</v>
      </c>
      <c r="AM11" s="18">
        <v>9.3198618965918953</v>
      </c>
      <c r="AN11" s="17">
        <v>0</v>
      </c>
      <c r="AO11" s="6">
        <v>10</v>
      </c>
      <c r="AP11" s="6">
        <v>5</v>
      </c>
      <c r="AQ11" s="2">
        <v>0</v>
      </c>
      <c r="AR11" s="2">
        <v>0</v>
      </c>
      <c r="AS11" s="2">
        <v>0</v>
      </c>
      <c r="AT11" s="5">
        <v>0</v>
      </c>
      <c r="AU11" s="5">
        <v>0</v>
      </c>
      <c r="AV11" s="130">
        <v>0</v>
      </c>
      <c r="AW11" s="130">
        <v>0</v>
      </c>
    </row>
    <row r="12" spans="1:49" ht="21.6" thickBot="1" x14ac:dyDescent="0.45">
      <c r="A12" s="102" t="str">
        <f>IF(I12&gt;0,"AGENT 10","")</f>
        <v/>
      </c>
      <c r="B12" s="110">
        <v>46</v>
      </c>
      <c r="C12" s="96" t="s">
        <v>52</v>
      </c>
      <c r="D12" s="95">
        <v>131</v>
      </c>
      <c r="E12" s="97" t="s">
        <v>57</v>
      </c>
      <c r="F12" s="98" t="str">
        <f>IF(I12&gt;0,'a10'!Total_Costs,"")</f>
        <v/>
      </c>
      <c r="G12" s="95" t="s">
        <v>48</v>
      </c>
      <c r="H12" s="99" t="s">
        <v>81</v>
      </c>
      <c r="I12" s="14">
        <v>0</v>
      </c>
      <c r="J12" s="64"/>
      <c r="K12" s="64"/>
      <c r="L12" s="64"/>
      <c r="M12" s="64"/>
      <c r="N12" s="64"/>
      <c r="O12" s="64"/>
      <c r="P12" s="64"/>
      <c r="Q12" s="64"/>
      <c r="R12" s="64"/>
      <c r="S12" s="28"/>
      <c r="T12" s="29"/>
      <c r="U12" s="30"/>
      <c r="V12" s="65">
        <v>10</v>
      </c>
      <c r="W12" s="66">
        <v>5</v>
      </c>
      <c r="X12" s="124">
        <v>43265.416666666664</v>
      </c>
      <c r="Y12" s="30"/>
      <c r="Z12" s="141"/>
      <c r="AA12" s="142"/>
      <c r="AB12" s="142"/>
      <c r="AC12" s="142"/>
      <c r="AD12" s="143"/>
      <c r="AE12" s="29"/>
      <c r="AF12" s="72">
        <v>3.9236479321314952E-2</v>
      </c>
      <c r="AG12" s="11">
        <v>1.015228426395939E-2</v>
      </c>
      <c r="AH12" s="11">
        <v>4.2986721144024506E-2</v>
      </c>
      <c r="AI12" s="11">
        <v>8.7035110533159946E-3</v>
      </c>
      <c r="AJ12" s="11">
        <v>6.1596480201131357E-2</v>
      </c>
      <c r="AK12" s="11">
        <v>5.6660524030416638E-2</v>
      </c>
      <c r="AL12" s="136">
        <v>8</v>
      </c>
      <c r="AM12" s="18">
        <v>11.332104806083327</v>
      </c>
      <c r="AN12" s="17">
        <v>0.90355329949238572</v>
      </c>
      <c r="AO12" s="6">
        <v>10</v>
      </c>
      <c r="AP12" s="6">
        <v>5</v>
      </c>
      <c r="AQ12" s="2">
        <v>0</v>
      </c>
      <c r="AR12" s="2">
        <v>0</v>
      </c>
      <c r="AS12" s="2">
        <v>0</v>
      </c>
      <c r="AT12" s="5">
        <v>0</v>
      </c>
      <c r="AU12" s="5">
        <v>0</v>
      </c>
      <c r="AV12" s="130">
        <v>0</v>
      </c>
      <c r="AW12" s="130">
        <v>0</v>
      </c>
    </row>
    <row r="13" spans="1:49" ht="19.8" customHeight="1" thickBot="1" x14ac:dyDescent="0.45">
      <c r="A13" s="91" t="s">
        <v>35</v>
      </c>
      <c r="B13" s="92"/>
      <c r="C13" s="92"/>
      <c r="D13" s="92"/>
      <c r="E13" s="92"/>
      <c r="F13" s="93">
        <f>SUM(F3:F12)</f>
        <v>0</v>
      </c>
      <c r="G13" s="92"/>
      <c r="H13" s="94"/>
      <c r="I13" s="15"/>
      <c r="J13" s="64"/>
      <c r="K13" s="64"/>
      <c r="L13" s="64"/>
      <c r="M13" s="64"/>
      <c r="N13" s="64"/>
      <c r="O13" s="64"/>
      <c r="P13" s="64"/>
      <c r="Q13" s="64"/>
      <c r="R13" s="64"/>
      <c r="S13" s="28"/>
      <c r="T13" s="29"/>
      <c r="U13" s="30"/>
      <c r="V13" s="65">
        <v>10</v>
      </c>
      <c r="W13" s="66">
        <v>5</v>
      </c>
      <c r="X13" s="124">
        <v>43265.458333333336</v>
      </c>
      <c r="Y13" s="30"/>
      <c r="Z13" s="141"/>
      <c r="AA13" s="142"/>
      <c r="AB13" s="142"/>
      <c r="AC13" s="142"/>
      <c r="AD13" s="143"/>
      <c r="AE13" s="29"/>
      <c r="AF13" s="72">
        <v>6.7868504772004248E-2</v>
      </c>
      <c r="AG13" s="11">
        <v>5.5837563451776651E-2</v>
      </c>
      <c r="AH13" s="11">
        <v>5.6801838610827354E-2</v>
      </c>
      <c r="AI13" s="11">
        <v>2.7209362808842657E-2</v>
      </c>
      <c r="AJ13" s="11">
        <v>6.0967944688874912E-2</v>
      </c>
      <c r="AK13" s="11">
        <v>5.1365147952807604E-2</v>
      </c>
      <c r="AL13" s="136">
        <v>9</v>
      </c>
      <c r="AM13" s="18">
        <v>10.273029590561521</v>
      </c>
      <c r="AN13" s="17">
        <v>4.969543147208122</v>
      </c>
      <c r="AO13" s="6">
        <v>10</v>
      </c>
      <c r="AP13" s="6">
        <v>5</v>
      </c>
      <c r="AQ13" s="2">
        <v>0</v>
      </c>
      <c r="AR13" s="2">
        <v>0</v>
      </c>
      <c r="AS13" s="2">
        <v>0</v>
      </c>
      <c r="AT13" s="5">
        <v>0</v>
      </c>
      <c r="AU13" s="5">
        <v>0</v>
      </c>
      <c r="AV13" s="130">
        <v>0</v>
      </c>
      <c r="AW13" s="130">
        <v>0</v>
      </c>
    </row>
    <row r="14" spans="1:49" ht="15.6" x14ac:dyDescent="0.3">
      <c r="A14" s="69"/>
      <c r="B14" s="64"/>
      <c r="C14" s="64"/>
      <c r="D14" s="64"/>
      <c r="E14" s="64">
        <v>0</v>
      </c>
      <c r="F14" s="64"/>
      <c r="G14" s="64"/>
      <c r="H14" s="64"/>
      <c r="I14" s="64"/>
      <c r="J14" s="64"/>
      <c r="K14" s="64"/>
      <c r="L14" s="64"/>
      <c r="M14" s="64"/>
      <c r="N14" s="64"/>
      <c r="O14" s="64"/>
      <c r="P14" s="64"/>
      <c r="Q14" s="64"/>
      <c r="R14" s="64"/>
      <c r="S14" s="28"/>
      <c r="T14" s="29"/>
      <c r="U14" s="30"/>
      <c r="V14" s="65">
        <v>10</v>
      </c>
      <c r="W14" s="66">
        <v>5</v>
      </c>
      <c r="X14" s="124">
        <v>43265.5</v>
      </c>
      <c r="Y14" s="30"/>
      <c r="Z14" s="141"/>
      <c r="AA14" s="142"/>
      <c r="AB14" s="142"/>
      <c r="AC14" s="142"/>
      <c r="AD14" s="143"/>
      <c r="AE14" s="29"/>
      <c r="AF14" s="72">
        <v>0.10074231177094381</v>
      </c>
      <c r="AG14" s="11">
        <v>8.8324873096446682E-2</v>
      </c>
      <c r="AH14" s="11">
        <v>8.7295199182839622E-2</v>
      </c>
      <c r="AI14" s="11">
        <v>3.6312093628088432E-2</v>
      </c>
      <c r="AJ14" s="11">
        <v>3.2055311125078569E-2</v>
      </c>
      <c r="AK14" s="11">
        <v>4.4481159051915867E-2</v>
      </c>
      <c r="AL14" s="136">
        <v>10</v>
      </c>
      <c r="AM14" s="18">
        <v>8.8962318103831741</v>
      </c>
      <c r="AN14" s="17">
        <v>7.860913705583755</v>
      </c>
      <c r="AO14" s="6">
        <v>10</v>
      </c>
      <c r="AP14" s="6">
        <v>5</v>
      </c>
      <c r="AQ14" s="2">
        <v>0</v>
      </c>
      <c r="AR14" s="2">
        <v>0</v>
      </c>
      <c r="AS14" s="2">
        <v>0</v>
      </c>
      <c r="AT14" s="5">
        <v>0</v>
      </c>
      <c r="AU14" s="5">
        <v>0</v>
      </c>
      <c r="AV14" s="130">
        <v>0</v>
      </c>
      <c r="AW14" s="130">
        <v>0</v>
      </c>
    </row>
    <row r="15" spans="1:49" ht="15.6" x14ac:dyDescent="0.3">
      <c r="A15" s="69"/>
      <c r="B15" s="64"/>
      <c r="C15" s="64"/>
      <c r="D15" s="64"/>
      <c r="E15" s="64">
        <v>0</v>
      </c>
      <c r="F15" s="64"/>
      <c r="G15" s="64"/>
      <c r="H15" s="64"/>
      <c r="I15" s="64"/>
      <c r="J15" s="64"/>
      <c r="K15" s="64"/>
      <c r="L15" s="64"/>
      <c r="M15" s="64"/>
      <c r="N15" s="64"/>
      <c r="O15" s="64"/>
      <c r="P15" s="64"/>
      <c r="Q15" s="64"/>
      <c r="R15" s="64"/>
      <c r="S15" s="28"/>
      <c r="T15" s="29"/>
      <c r="U15" s="30"/>
      <c r="V15" s="65">
        <v>10</v>
      </c>
      <c r="W15" s="66">
        <v>5</v>
      </c>
      <c r="X15" s="124">
        <v>43265.541666666664</v>
      </c>
      <c r="Y15" s="30"/>
      <c r="Z15" s="141"/>
      <c r="AA15" s="142"/>
      <c r="AB15" s="142"/>
      <c r="AC15" s="142"/>
      <c r="AD15" s="143"/>
      <c r="AE15" s="29"/>
      <c r="AF15" s="72">
        <v>0.11770943796394485</v>
      </c>
      <c r="AG15" s="11">
        <v>0.10456852791878171</v>
      </c>
      <c r="AH15" s="11">
        <v>9.5059244126659836E-2</v>
      </c>
      <c r="AI15" s="11">
        <v>2.9810143042912879E-2</v>
      </c>
      <c r="AJ15" s="11">
        <v>1.2570710245128848E-2</v>
      </c>
      <c r="AK15" s="11">
        <v>4.7658384698481285E-2</v>
      </c>
      <c r="AL15" s="136">
        <v>11</v>
      </c>
      <c r="AM15" s="18">
        <v>9.5316769396962577</v>
      </c>
      <c r="AN15" s="17">
        <v>9.306598984771572</v>
      </c>
      <c r="AO15" s="6">
        <v>10</v>
      </c>
      <c r="AP15" s="6">
        <v>5</v>
      </c>
      <c r="AQ15" s="2">
        <v>0</v>
      </c>
      <c r="AR15" s="2">
        <v>0</v>
      </c>
      <c r="AS15" s="2">
        <v>0</v>
      </c>
      <c r="AT15" s="5">
        <v>0</v>
      </c>
      <c r="AU15" s="5">
        <v>0</v>
      </c>
      <c r="AV15" s="130">
        <v>0</v>
      </c>
      <c r="AW15" s="130">
        <v>0</v>
      </c>
    </row>
    <row r="16" spans="1:49" ht="15.6" customHeight="1" x14ac:dyDescent="0.3">
      <c r="A16" s="69"/>
      <c r="B16" s="64"/>
      <c r="C16" s="64"/>
      <c r="D16" s="64"/>
      <c r="E16" s="64">
        <v>0</v>
      </c>
      <c r="F16" s="64"/>
      <c r="G16" s="64"/>
      <c r="H16" s="64"/>
      <c r="I16" s="64"/>
      <c r="J16" s="64"/>
      <c r="K16" s="64"/>
      <c r="L16" s="64"/>
      <c r="M16" s="64"/>
      <c r="N16" s="64"/>
      <c r="O16" s="64"/>
      <c r="P16" s="64"/>
      <c r="Q16" s="64"/>
      <c r="R16" s="64"/>
      <c r="S16" s="28"/>
      <c r="T16" s="29"/>
      <c r="U16" s="30"/>
      <c r="V16" s="65">
        <v>10</v>
      </c>
      <c r="W16" s="66">
        <v>5</v>
      </c>
      <c r="X16" s="124">
        <v>43265.583333333336</v>
      </c>
      <c r="Y16" s="30"/>
      <c r="Z16" s="141"/>
      <c r="AA16" s="142"/>
      <c r="AB16" s="142"/>
      <c r="AC16" s="142"/>
      <c r="AD16" s="143"/>
      <c r="AE16" s="29"/>
      <c r="AF16" s="72">
        <v>0.13043478260869568</v>
      </c>
      <c r="AG16" s="11">
        <v>0.11675126903553298</v>
      </c>
      <c r="AH16" s="11">
        <v>0.13074565883554645</v>
      </c>
      <c r="AI16" s="11">
        <v>3.696228868660599E-2</v>
      </c>
      <c r="AJ16" s="11">
        <v>1.5713387806411062E-2</v>
      </c>
      <c r="AK16" s="11">
        <v>5.4542373599373029E-2</v>
      </c>
      <c r="AL16" s="136">
        <v>12</v>
      </c>
      <c r="AM16" s="18">
        <v>10.908474719874606</v>
      </c>
      <c r="AN16" s="17">
        <v>10.390862944162436</v>
      </c>
      <c r="AO16" s="6">
        <v>10</v>
      </c>
      <c r="AP16" s="6">
        <v>5</v>
      </c>
      <c r="AQ16" s="2">
        <v>0</v>
      </c>
      <c r="AR16" s="2">
        <v>0</v>
      </c>
      <c r="AS16" s="2">
        <v>0</v>
      </c>
      <c r="AT16" s="5">
        <v>0</v>
      </c>
      <c r="AU16" s="5">
        <v>0</v>
      </c>
      <c r="AV16" s="130">
        <v>0</v>
      </c>
      <c r="AW16" s="130">
        <v>0</v>
      </c>
    </row>
    <row r="17" spans="1:49" ht="15.6" x14ac:dyDescent="0.3">
      <c r="A17" s="69"/>
      <c r="B17" s="64"/>
      <c r="C17" s="64"/>
      <c r="D17" s="64"/>
      <c r="E17" s="64"/>
      <c r="F17" s="64"/>
      <c r="G17" s="64"/>
      <c r="H17" s="64"/>
      <c r="I17" s="64"/>
      <c r="J17" s="64"/>
      <c r="K17" s="64"/>
      <c r="L17" s="64"/>
      <c r="M17" s="64"/>
      <c r="N17" s="64"/>
      <c r="O17" s="64"/>
      <c r="P17" s="64"/>
      <c r="Q17" s="64"/>
      <c r="R17" s="64"/>
      <c r="S17" s="28"/>
      <c r="T17" s="29"/>
      <c r="U17" s="30"/>
      <c r="V17" s="65">
        <v>10</v>
      </c>
      <c r="W17" s="66">
        <v>5</v>
      </c>
      <c r="X17" s="124">
        <v>43265.625</v>
      </c>
      <c r="Y17" s="30"/>
      <c r="Z17" s="141"/>
      <c r="AA17" s="142"/>
      <c r="AB17" s="142"/>
      <c r="AC17" s="142"/>
      <c r="AD17" s="143"/>
      <c r="AE17" s="29"/>
      <c r="AF17" s="72">
        <v>0.10286320254506894</v>
      </c>
      <c r="AG17" s="11">
        <v>0.12487309644670053</v>
      </c>
      <c r="AH17" s="11">
        <v>0.12257405515832479</v>
      </c>
      <c r="AI17" s="11">
        <v>2.2007802340702216E-2</v>
      </c>
      <c r="AJ17" s="11">
        <v>6.6624764299182904E-2</v>
      </c>
      <c r="AK17" s="11">
        <v>6.3544512931308375E-2</v>
      </c>
      <c r="AL17" s="136">
        <v>13</v>
      </c>
      <c r="AM17" s="18">
        <v>12.708902586261676</v>
      </c>
      <c r="AN17" s="17">
        <v>11.113705583756348</v>
      </c>
      <c r="AO17" s="6">
        <v>10</v>
      </c>
      <c r="AP17" s="6">
        <v>5</v>
      </c>
      <c r="AQ17" s="2">
        <v>0</v>
      </c>
      <c r="AR17" s="2">
        <v>0</v>
      </c>
      <c r="AS17" s="2">
        <v>0</v>
      </c>
      <c r="AT17" s="5">
        <v>0</v>
      </c>
      <c r="AU17" s="5">
        <v>0</v>
      </c>
      <c r="AV17" s="130">
        <v>0</v>
      </c>
      <c r="AW17" s="130">
        <v>0</v>
      </c>
    </row>
    <row r="18" spans="1:49" ht="15.6" x14ac:dyDescent="0.3">
      <c r="A18" s="69"/>
      <c r="B18" s="64"/>
      <c r="C18" s="64"/>
      <c r="D18" s="64"/>
      <c r="E18" s="64"/>
      <c r="F18" s="64"/>
      <c r="G18" s="64"/>
      <c r="H18" s="64"/>
      <c r="I18" s="64"/>
      <c r="J18" s="64"/>
      <c r="K18" s="64"/>
      <c r="L18" s="64"/>
      <c r="M18" s="70"/>
      <c r="N18" s="64"/>
      <c r="O18" s="64"/>
      <c r="P18" s="64"/>
      <c r="Q18" s="64"/>
      <c r="R18" s="64"/>
      <c r="S18" s="28"/>
      <c r="T18" s="29"/>
      <c r="U18" s="30"/>
      <c r="V18" s="65">
        <v>10</v>
      </c>
      <c r="W18" s="66">
        <v>5</v>
      </c>
      <c r="X18" s="124">
        <v>43265.666666666664</v>
      </c>
      <c r="Y18" s="30"/>
      <c r="Z18" s="141"/>
      <c r="AA18" s="142"/>
      <c r="AB18" s="142"/>
      <c r="AC18" s="142"/>
      <c r="AD18" s="143"/>
      <c r="AE18" s="29"/>
      <c r="AF18" s="72">
        <v>9.2258748674443281E-2</v>
      </c>
      <c r="AG18" s="11">
        <v>0.11776649746192894</v>
      </c>
      <c r="AH18" s="11">
        <v>0.10418794688457608</v>
      </c>
      <c r="AI18" s="11">
        <v>2.6608582574772433E-2</v>
      </c>
      <c r="AJ18" s="11">
        <v>6.8510370835952225E-2</v>
      </c>
      <c r="AK18" s="11">
        <v>5.4012835991612114E-2</v>
      </c>
      <c r="AL18" s="136">
        <v>14</v>
      </c>
      <c r="AM18" s="18">
        <v>10.802567198322423</v>
      </c>
      <c r="AN18" s="17">
        <v>10.481218274111676</v>
      </c>
      <c r="AO18" s="6">
        <v>10</v>
      </c>
      <c r="AP18" s="6">
        <v>5</v>
      </c>
      <c r="AQ18" s="2">
        <v>0</v>
      </c>
      <c r="AR18" s="2">
        <v>0</v>
      </c>
      <c r="AS18" s="2">
        <v>0</v>
      </c>
      <c r="AT18" s="5">
        <v>0</v>
      </c>
      <c r="AU18" s="5">
        <v>0</v>
      </c>
      <c r="AV18" s="130">
        <v>0</v>
      </c>
      <c r="AW18" s="130">
        <v>0</v>
      </c>
    </row>
    <row r="19" spans="1:49" ht="15.6" customHeight="1" x14ac:dyDescent="0.3">
      <c r="A19" s="69"/>
      <c r="B19" s="64"/>
      <c r="C19" s="64"/>
      <c r="D19" s="64"/>
      <c r="E19" s="64"/>
      <c r="F19" s="64"/>
      <c r="G19" s="64"/>
      <c r="H19" s="64"/>
      <c r="I19" s="64"/>
      <c r="J19" s="64"/>
      <c r="K19" s="64"/>
      <c r="L19" s="70"/>
      <c r="M19" s="70"/>
      <c r="N19" s="64"/>
      <c r="O19" s="64"/>
      <c r="P19" s="64"/>
      <c r="Q19" s="64"/>
      <c r="R19" s="64"/>
      <c r="S19" s="28"/>
      <c r="T19" s="29"/>
      <c r="U19" s="30"/>
      <c r="V19" s="65">
        <v>10</v>
      </c>
      <c r="W19" s="66">
        <v>5</v>
      </c>
      <c r="X19" s="124">
        <v>43265.708333333336</v>
      </c>
      <c r="Y19" s="30"/>
      <c r="Z19" s="141"/>
      <c r="AA19" s="142"/>
      <c r="AB19" s="142"/>
      <c r="AC19" s="142"/>
      <c r="AD19" s="143"/>
      <c r="AE19" s="29"/>
      <c r="AF19" s="72">
        <v>8.3775185577942751E-2</v>
      </c>
      <c r="AG19" s="11">
        <v>0.10964467005076142</v>
      </c>
      <c r="AH19" s="11">
        <v>0.11216649642492338</v>
      </c>
      <c r="AI19" s="11">
        <v>2.1456436931079331E-2</v>
      </c>
      <c r="AJ19" s="11">
        <v>4.399748585795097E-2</v>
      </c>
      <c r="AK19" s="11">
        <v>4.9776535129524901E-2</v>
      </c>
      <c r="AL19" s="136">
        <v>15</v>
      </c>
      <c r="AM19" s="18">
        <v>9.9553070259049807</v>
      </c>
      <c r="AN19" s="17">
        <v>9.7583756345177672</v>
      </c>
      <c r="AO19" s="6">
        <v>10</v>
      </c>
      <c r="AP19" s="6">
        <v>5</v>
      </c>
      <c r="AQ19" s="2">
        <v>0</v>
      </c>
      <c r="AR19" s="2">
        <v>0</v>
      </c>
      <c r="AS19" s="2">
        <v>0</v>
      </c>
      <c r="AT19" s="5">
        <v>0</v>
      </c>
      <c r="AU19" s="5">
        <v>0</v>
      </c>
      <c r="AV19" s="130">
        <v>0</v>
      </c>
      <c r="AW19" s="130">
        <v>0</v>
      </c>
    </row>
    <row r="20" spans="1:49" ht="15.6" x14ac:dyDescent="0.3">
      <c r="A20" s="69"/>
      <c r="B20" s="64"/>
      <c r="C20" s="64"/>
      <c r="D20" s="64"/>
      <c r="E20" s="64"/>
      <c r="F20" s="64"/>
      <c r="G20" s="64"/>
      <c r="H20" s="64"/>
      <c r="I20" s="64"/>
      <c r="J20" s="64"/>
      <c r="K20" s="64"/>
      <c r="L20" s="70"/>
      <c r="M20" s="70"/>
      <c r="N20" s="64"/>
      <c r="O20" s="64"/>
      <c r="P20" s="64"/>
      <c r="Q20" s="64"/>
      <c r="R20" s="64"/>
      <c r="S20" s="28"/>
      <c r="T20" s="29"/>
      <c r="U20" s="30"/>
      <c r="V20" s="65">
        <v>10</v>
      </c>
      <c r="W20" s="66">
        <v>5</v>
      </c>
      <c r="X20" s="124">
        <v>43265.75</v>
      </c>
      <c r="Y20" s="30"/>
      <c r="Z20" s="141"/>
      <c r="AA20" s="142"/>
      <c r="AB20" s="142"/>
      <c r="AC20" s="142"/>
      <c r="AD20" s="143"/>
      <c r="AE20" s="29"/>
      <c r="AF20" s="72">
        <v>8.6956521739130432E-2</v>
      </c>
      <c r="AG20" s="11">
        <v>0.10050761421319798</v>
      </c>
      <c r="AH20" s="11">
        <v>0.1209519918283963</v>
      </c>
      <c r="AI20" s="11">
        <v>1.6254876462938883E-2</v>
      </c>
      <c r="AJ20" s="11">
        <v>4.9654305468258948E-2</v>
      </c>
      <c r="AK20" s="11">
        <v>5.4542373599373022E-2</v>
      </c>
      <c r="AL20" s="136">
        <v>16</v>
      </c>
      <c r="AM20" s="18">
        <v>10.908474719874604</v>
      </c>
      <c r="AN20" s="17">
        <v>8.9451776649746204</v>
      </c>
      <c r="AO20" s="6">
        <v>10</v>
      </c>
      <c r="AP20" s="6">
        <v>5</v>
      </c>
      <c r="AQ20" s="2">
        <v>0</v>
      </c>
      <c r="AR20" s="2">
        <v>0</v>
      </c>
      <c r="AS20" s="2">
        <v>0</v>
      </c>
      <c r="AT20" s="5">
        <v>0</v>
      </c>
      <c r="AU20" s="5">
        <v>0</v>
      </c>
      <c r="AV20" s="130">
        <v>0</v>
      </c>
      <c r="AW20" s="130">
        <v>0</v>
      </c>
    </row>
    <row r="21" spans="1:49" ht="15.6" x14ac:dyDescent="0.3">
      <c r="A21" s="69"/>
      <c r="B21" s="64"/>
      <c r="C21" s="64"/>
      <c r="D21" s="64"/>
      <c r="E21" s="64"/>
      <c r="F21" s="64"/>
      <c r="G21" s="64"/>
      <c r="H21" s="64"/>
      <c r="I21" s="64"/>
      <c r="J21" s="64"/>
      <c r="K21" s="64"/>
      <c r="L21" s="70"/>
      <c r="M21" s="70"/>
      <c r="N21" s="64"/>
      <c r="O21" s="64"/>
      <c r="P21" s="64"/>
      <c r="Q21" s="64"/>
      <c r="R21" s="64"/>
      <c r="S21" s="28"/>
      <c r="T21" s="29"/>
      <c r="U21" s="30"/>
      <c r="V21" s="65">
        <v>10</v>
      </c>
      <c r="W21" s="66">
        <v>5</v>
      </c>
      <c r="X21" s="124">
        <v>43265.791666666664</v>
      </c>
      <c r="Y21" s="30"/>
      <c r="Z21" s="141"/>
      <c r="AA21" s="142"/>
      <c r="AB21" s="142"/>
      <c r="AC21" s="142"/>
      <c r="AD21" s="143"/>
      <c r="AE21" s="29"/>
      <c r="AF21" s="72">
        <v>6.8928950159066818E-2</v>
      </c>
      <c r="AG21" s="11">
        <v>7.4111675126903559E-2</v>
      </c>
      <c r="AH21" s="11">
        <v>8.5351378958120533E-2</v>
      </c>
      <c r="AI21" s="11">
        <v>4.0962288686605987E-2</v>
      </c>
      <c r="AJ21" s="11">
        <v>5.5311125078566933E-2</v>
      </c>
      <c r="AK21" s="11">
        <v>4.7658384698481285E-2</v>
      </c>
      <c r="AL21" s="136">
        <v>17</v>
      </c>
      <c r="AM21" s="18">
        <v>9.5316769396962577</v>
      </c>
      <c r="AN21" s="17">
        <v>6.5959390862944165</v>
      </c>
      <c r="AO21" s="6">
        <v>10</v>
      </c>
      <c r="AP21" s="6">
        <v>5</v>
      </c>
      <c r="AQ21" s="2">
        <v>0</v>
      </c>
      <c r="AR21" s="2">
        <v>0</v>
      </c>
      <c r="AS21" s="2">
        <v>0</v>
      </c>
      <c r="AT21" s="5">
        <v>0</v>
      </c>
      <c r="AU21" s="5">
        <v>0</v>
      </c>
      <c r="AV21" s="130">
        <v>0</v>
      </c>
      <c r="AW21" s="130">
        <v>0</v>
      </c>
    </row>
    <row r="22" spans="1:49" ht="15.6" customHeight="1" x14ac:dyDescent="0.3">
      <c r="A22" s="69"/>
      <c r="B22" s="64"/>
      <c r="C22" s="64"/>
      <c r="D22" s="64"/>
      <c r="E22" s="64"/>
      <c r="F22" s="64"/>
      <c r="G22" s="64"/>
      <c r="H22" s="64"/>
      <c r="I22" s="64"/>
      <c r="J22" s="64"/>
      <c r="K22" s="64"/>
      <c r="L22" s="70"/>
      <c r="M22" s="70"/>
      <c r="N22" s="64"/>
      <c r="O22" s="64"/>
      <c r="P22" s="64"/>
      <c r="Q22" s="64"/>
      <c r="R22" s="64"/>
      <c r="S22" s="28"/>
      <c r="T22" s="29"/>
      <c r="U22" s="30"/>
      <c r="V22" s="65">
        <v>10</v>
      </c>
      <c r="W22" s="66">
        <v>5</v>
      </c>
      <c r="X22" s="124">
        <v>43265.833333333336</v>
      </c>
      <c r="Y22" s="30"/>
      <c r="Z22" s="141"/>
      <c r="AA22" s="142"/>
      <c r="AB22" s="142"/>
      <c r="AC22" s="142"/>
      <c r="AD22" s="143"/>
      <c r="AE22" s="29"/>
      <c r="AF22" s="72">
        <v>5.8324496288441149E-2</v>
      </c>
      <c r="AG22" s="11">
        <v>5.7868020304568529E-2</v>
      </c>
      <c r="AH22" s="11">
        <v>1.7364657814096011E-2</v>
      </c>
      <c r="AI22" s="11">
        <v>7.7373211963589081E-2</v>
      </c>
      <c r="AJ22" s="11">
        <v>5.78252671275927E-2</v>
      </c>
      <c r="AK22" s="11">
        <v>4.236300862087225E-2</v>
      </c>
      <c r="AL22" s="136">
        <v>18</v>
      </c>
      <c r="AM22" s="18">
        <v>8.4726017241744493</v>
      </c>
      <c r="AN22" s="17">
        <v>5.1502538071065995</v>
      </c>
      <c r="AO22" s="6">
        <v>10</v>
      </c>
      <c r="AP22" s="6">
        <v>5</v>
      </c>
      <c r="AQ22" s="2">
        <v>0</v>
      </c>
      <c r="AR22" s="2">
        <v>0</v>
      </c>
      <c r="AS22" s="2">
        <v>0</v>
      </c>
      <c r="AT22" s="5">
        <v>0</v>
      </c>
      <c r="AU22" s="5">
        <v>0</v>
      </c>
      <c r="AV22" s="130">
        <v>0</v>
      </c>
      <c r="AW22" s="130">
        <v>0</v>
      </c>
    </row>
    <row r="23" spans="1:49" ht="15.6" x14ac:dyDescent="0.3">
      <c r="A23" s="69"/>
      <c r="B23" s="64"/>
      <c r="C23" s="64"/>
      <c r="D23" s="64"/>
      <c r="E23" s="64"/>
      <c r="F23" s="64"/>
      <c r="G23" s="64"/>
      <c r="H23" s="64"/>
      <c r="I23" s="64"/>
      <c r="J23" s="64"/>
      <c r="K23" s="64"/>
      <c r="L23" s="70"/>
      <c r="M23" s="70"/>
      <c r="N23" s="64"/>
      <c r="O23" s="64"/>
      <c r="P23" s="64"/>
      <c r="Q23" s="64"/>
      <c r="R23" s="64"/>
      <c r="S23" s="28"/>
      <c r="T23" s="29"/>
      <c r="U23" s="30"/>
      <c r="V23" s="65">
        <v>10</v>
      </c>
      <c r="W23" s="66">
        <v>5</v>
      </c>
      <c r="X23" s="124">
        <v>43265.875</v>
      </c>
      <c r="Y23" s="30"/>
      <c r="Z23" s="141"/>
      <c r="AA23" s="142"/>
      <c r="AB23" s="142"/>
      <c r="AC23" s="142"/>
      <c r="AD23" s="143"/>
      <c r="AE23" s="29"/>
      <c r="AF23" s="72">
        <v>3.3934252386002124E-2</v>
      </c>
      <c r="AG23" s="11">
        <v>3.1472081218274113E-2</v>
      </c>
      <c r="AH23" s="11">
        <v>5.1072522982635333E-3</v>
      </c>
      <c r="AI23" s="11">
        <v>8.9726918075422643E-2</v>
      </c>
      <c r="AJ23" s="11">
        <v>4.3368950345694532E-2</v>
      </c>
      <c r="AK23" s="11">
        <v>7.3076189871004629E-2</v>
      </c>
      <c r="AL23" s="136">
        <v>19</v>
      </c>
      <c r="AM23" s="18">
        <v>14.615237974200927</v>
      </c>
      <c r="AN23" s="17">
        <v>2.8010152284263961</v>
      </c>
      <c r="AO23" s="6">
        <v>10</v>
      </c>
      <c r="AP23" s="6">
        <v>5</v>
      </c>
      <c r="AQ23" s="2">
        <v>0</v>
      </c>
      <c r="AR23" s="2">
        <v>0</v>
      </c>
      <c r="AS23" s="2">
        <v>0</v>
      </c>
      <c r="AT23" s="5">
        <v>0</v>
      </c>
      <c r="AU23" s="5">
        <v>0</v>
      </c>
      <c r="AV23" s="130">
        <v>0</v>
      </c>
      <c r="AW23" s="130">
        <v>0</v>
      </c>
    </row>
    <row r="24" spans="1:49" ht="15.6" x14ac:dyDescent="0.3">
      <c r="A24" s="69"/>
      <c r="B24" s="64"/>
      <c r="C24" s="64"/>
      <c r="D24" s="64"/>
      <c r="E24" s="64"/>
      <c r="F24" s="64"/>
      <c r="G24" s="64"/>
      <c r="H24" s="64"/>
      <c r="I24" s="64"/>
      <c r="J24" s="64"/>
      <c r="K24" s="64"/>
      <c r="L24" s="70"/>
      <c r="M24" s="70"/>
      <c r="N24" s="64"/>
      <c r="O24" s="64"/>
      <c r="P24" s="64"/>
      <c r="Q24" s="64"/>
      <c r="R24" s="64"/>
      <c r="S24" s="28"/>
      <c r="T24" s="29"/>
      <c r="U24" s="30"/>
      <c r="V24" s="65">
        <v>10</v>
      </c>
      <c r="W24" s="66">
        <v>5</v>
      </c>
      <c r="X24" s="124">
        <v>43265.916666666664</v>
      </c>
      <c r="Y24" s="30"/>
      <c r="Z24" s="141"/>
      <c r="AA24" s="142"/>
      <c r="AB24" s="142"/>
      <c r="AC24" s="142"/>
      <c r="AD24" s="143"/>
      <c r="AE24" s="29"/>
      <c r="AF24" s="72">
        <v>1.0604453870625663E-2</v>
      </c>
      <c r="AG24" s="11">
        <v>8.1218274111675131E-3</v>
      </c>
      <c r="AH24" s="11">
        <v>0</v>
      </c>
      <c r="AI24" s="11">
        <v>9.2327698309492848E-2</v>
      </c>
      <c r="AJ24" s="11">
        <v>8.799497171590194E-2</v>
      </c>
      <c r="AK24" s="11">
        <v>5.4012835991612121E-2</v>
      </c>
      <c r="AL24" s="136">
        <v>20</v>
      </c>
      <c r="AM24" s="18">
        <v>10.802567198322425</v>
      </c>
      <c r="AN24" s="17">
        <v>0.72284263959390871</v>
      </c>
      <c r="AO24" s="6">
        <v>10</v>
      </c>
      <c r="AP24" s="6">
        <v>5</v>
      </c>
      <c r="AQ24" s="2">
        <v>0</v>
      </c>
      <c r="AR24" s="2">
        <v>0</v>
      </c>
      <c r="AS24" s="2">
        <v>0</v>
      </c>
      <c r="AT24" s="5">
        <v>0</v>
      </c>
      <c r="AU24" s="5">
        <v>0</v>
      </c>
      <c r="AV24" s="130">
        <v>0</v>
      </c>
      <c r="AW24" s="130">
        <v>0</v>
      </c>
    </row>
    <row r="25" spans="1:49" ht="15.6" customHeight="1" x14ac:dyDescent="0.3">
      <c r="A25" s="69"/>
      <c r="B25" s="64"/>
      <c r="C25" s="64"/>
      <c r="D25" s="64"/>
      <c r="E25" s="64"/>
      <c r="F25" s="64"/>
      <c r="G25" s="64"/>
      <c r="H25" s="64"/>
      <c r="I25" s="64"/>
      <c r="J25" s="64"/>
      <c r="K25" s="64"/>
      <c r="L25" s="70"/>
      <c r="M25" s="70"/>
      <c r="N25" s="64"/>
      <c r="O25" s="64"/>
      <c r="P25" s="64"/>
      <c r="Q25" s="64"/>
      <c r="R25" s="64"/>
      <c r="S25" s="28"/>
      <c r="T25" s="29"/>
      <c r="U25" s="30"/>
      <c r="V25" s="65">
        <v>10</v>
      </c>
      <c r="W25" s="66">
        <v>5</v>
      </c>
      <c r="X25" s="124">
        <v>43265.958333333336</v>
      </c>
      <c r="Y25" s="30"/>
      <c r="Z25" s="141"/>
      <c r="AA25" s="142"/>
      <c r="AB25" s="142"/>
      <c r="AC25" s="142"/>
      <c r="AD25" s="143"/>
      <c r="AE25" s="29"/>
      <c r="AF25" s="72">
        <v>0</v>
      </c>
      <c r="AG25" s="11">
        <v>0</v>
      </c>
      <c r="AH25" s="11">
        <v>0</v>
      </c>
      <c r="AI25" s="11">
        <v>0.10287711313394007</v>
      </c>
      <c r="AJ25" s="11">
        <v>8.0452545568824627E-2</v>
      </c>
      <c r="AK25" s="11">
        <v>5.9837749676982049E-2</v>
      </c>
      <c r="AL25" s="136">
        <v>21</v>
      </c>
      <c r="AM25" s="18">
        <v>11.967549935396409</v>
      </c>
      <c r="AN25" s="17">
        <v>0</v>
      </c>
      <c r="AO25" s="6">
        <v>10</v>
      </c>
      <c r="AP25" s="6">
        <v>5</v>
      </c>
      <c r="AQ25" s="2">
        <v>0</v>
      </c>
      <c r="AR25" s="2">
        <v>0</v>
      </c>
      <c r="AS25" s="2">
        <v>0</v>
      </c>
      <c r="AT25" s="5">
        <v>0</v>
      </c>
      <c r="AU25" s="5">
        <v>0</v>
      </c>
      <c r="AV25" s="130">
        <v>0</v>
      </c>
      <c r="AW25" s="130">
        <v>0</v>
      </c>
    </row>
    <row r="26" spans="1:49" ht="16.2" thickBot="1" x14ac:dyDescent="0.35">
      <c r="A26" s="69"/>
      <c r="B26" s="64"/>
      <c r="C26" s="64"/>
      <c r="D26" s="64"/>
      <c r="E26" s="64"/>
      <c r="F26" s="64"/>
      <c r="G26" s="64"/>
      <c r="H26" s="64"/>
      <c r="I26" s="64"/>
      <c r="J26" s="64"/>
      <c r="K26" s="64"/>
      <c r="L26" s="70"/>
      <c r="M26" s="70"/>
      <c r="N26" s="64"/>
      <c r="O26" s="64"/>
      <c r="P26" s="64"/>
      <c r="Q26" s="64"/>
      <c r="R26" s="64"/>
      <c r="S26" s="28"/>
      <c r="T26" s="29"/>
      <c r="U26" s="30"/>
      <c r="V26" s="132">
        <v>10</v>
      </c>
      <c r="W26" s="133">
        <v>5</v>
      </c>
      <c r="X26" s="125">
        <v>43266</v>
      </c>
      <c r="Y26" s="30"/>
      <c r="Z26" s="141"/>
      <c r="AA26" s="142"/>
      <c r="AB26" s="142"/>
      <c r="AC26" s="142"/>
      <c r="AD26" s="143"/>
      <c r="AE26" s="29"/>
      <c r="AF26" s="72">
        <v>0</v>
      </c>
      <c r="AG26" s="11">
        <v>0</v>
      </c>
      <c r="AH26" s="11">
        <v>0</v>
      </c>
      <c r="AI26" s="11">
        <v>7.8819895968790535E-2</v>
      </c>
      <c r="AJ26" s="11">
        <v>5.8453802639849152E-2</v>
      </c>
      <c r="AK26" s="11">
        <v>7.1720573595136727E-2</v>
      </c>
      <c r="AL26" s="136">
        <v>22</v>
      </c>
      <c r="AM26" s="18">
        <v>14.344114719027345</v>
      </c>
      <c r="AN26" s="17">
        <v>0</v>
      </c>
      <c r="AO26" s="6">
        <v>10</v>
      </c>
      <c r="AP26" s="6">
        <v>5</v>
      </c>
      <c r="AQ26" s="2">
        <v>0</v>
      </c>
      <c r="AR26" s="2">
        <v>0</v>
      </c>
      <c r="AS26" s="2">
        <v>0</v>
      </c>
      <c r="AT26" s="5">
        <v>0</v>
      </c>
      <c r="AU26" s="5">
        <v>0</v>
      </c>
      <c r="AV26" s="130">
        <v>0</v>
      </c>
      <c r="AW26" s="130">
        <v>0</v>
      </c>
    </row>
    <row r="27" spans="1:49" ht="15.6" x14ac:dyDescent="0.3">
      <c r="A27" s="69"/>
      <c r="B27" s="64"/>
      <c r="C27" s="64"/>
      <c r="D27" s="64"/>
      <c r="E27" s="64"/>
      <c r="F27" s="64"/>
      <c r="G27" s="64"/>
      <c r="H27" s="64"/>
      <c r="I27" s="64"/>
      <c r="J27" s="64"/>
      <c r="K27" s="64"/>
      <c r="L27" s="70"/>
      <c r="M27" s="70"/>
      <c r="N27" s="64"/>
      <c r="O27" s="64"/>
      <c r="P27" s="64"/>
      <c r="Q27" s="64"/>
      <c r="R27" s="64"/>
      <c r="S27" s="28"/>
      <c r="T27" s="29"/>
      <c r="U27" s="30"/>
      <c r="V27" s="29"/>
      <c r="W27" s="29"/>
      <c r="X27" s="29"/>
      <c r="Y27" s="30"/>
      <c r="Z27" s="141"/>
      <c r="AA27" s="142"/>
      <c r="AB27" s="142"/>
      <c r="AC27" s="142"/>
      <c r="AD27" s="143"/>
      <c r="AE27" s="29"/>
      <c r="AF27" s="72">
        <v>0</v>
      </c>
      <c r="AG27" s="11">
        <v>0</v>
      </c>
      <c r="AH27" s="11">
        <v>0</v>
      </c>
      <c r="AI27" s="11">
        <v>6.6319895968790649E-2</v>
      </c>
      <c r="AJ27" s="11">
        <v>5.02828409805154E-2</v>
      </c>
      <c r="AK27" s="11">
        <v>5.0306072737285802E-2</v>
      </c>
      <c r="AL27" s="136">
        <v>23</v>
      </c>
      <c r="AM27" s="18">
        <v>10.06121454745716</v>
      </c>
      <c r="AN27" s="17">
        <v>0</v>
      </c>
      <c r="AO27" s="6">
        <v>10</v>
      </c>
      <c r="AP27" s="6">
        <v>5</v>
      </c>
      <c r="AQ27" s="2">
        <v>0</v>
      </c>
      <c r="AR27" s="2">
        <v>0</v>
      </c>
      <c r="AS27" s="2">
        <v>0</v>
      </c>
      <c r="AT27" s="5">
        <v>0</v>
      </c>
      <c r="AU27" s="5">
        <v>0</v>
      </c>
      <c r="AV27" s="130">
        <v>0</v>
      </c>
      <c r="AW27" s="130">
        <v>0</v>
      </c>
    </row>
    <row r="28" spans="1:49" ht="15.6" customHeight="1" thickBot="1" x14ac:dyDescent="0.35">
      <c r="A28" s="69"/>
      <c r="B28" s="64"/>
      <c r="C28" s="64"/>
      <c r="D28" s="64"/>
      <c r="E28" s="64"/>
      <c r="F28" s="64"/>
      <c r="G28" s="64"/>
      <c r="H28" s="64"/>
      <c r="I28" s="64"/>
      <c r="J28" s="64"/>
      <c r="K28" s="64"/>
      <c r="L28" s="70"/>
      <c r="M28" s="70"/>
      <c r="N28" s="64"/>
      <c r="O28" s="64"/>
      <c r="P28" s="64"/>
      <c r="Q28" s="64"/>
      <c r="R28" s="64"/>
      <c r="S28" s="28"/>
      <c r="T28" s="29"/>
      <c r="U28" s="30"/>
      <c r="V28" s="29"/>
      <c r="W28" s="29"/>
      <c r="X28" s="29"/>
      <c r="Y28" s="30"/>
      <c r="Z28" s="141"/>
      <c r="AA28" s="142"/>
      <c r="AB28" s="142"/>
      <c r="AC28" s="142"/>
      <c r="AD28" s="143"/>
      <c r="AE28" s="29"/>
      <c r="AF28" s="121">
        <v>0</v>
      </c>
      <c r="AG28" s="122">
        <v>0</v>
      </c>
      <c r="AH28" s="122">
        <v>0</v>
      </c>
      <c r="AI28" s="122">
        <v>6.0468140442132647E-2</v>
      </c>
      <c r="AJ28" s="122">
        <v>2.2627278441231927E-2</v>
      </c>
      <c r="AK28" s="122">
        <v>2.488826756476244E-2</v>
      </c>
      <c r="AL28" s="136">
        <v>24</v>
      </c>
      <c r="AM28" s="18">
        <v>4.9776535129524877</v>
      </c>
      <c r="AN28" s="17">
        <v>0</v>
      </c>
      <c r="AO28" s="6">
        <v>10</v>
      </c>
      <c r="AP28" s="6">
        <v>5</v>
      </c>
      <c r="AQ28" s="2">
        <v>0</v>
      </c>
      <c r="AR28" s="2">
        <v>0</v>
      </c>
      <c r="AS28" s="2">
        <v>0</v>
      </c>
      <c r="AT28" s="5">
        <v>0</v>
      </c>
      <c r="AU28" s="5">
        <v>0</v>
      </c>
      <c r="AV28" s="130">
        <v>0</v>
      </c>
      <c r="AW28" s="130">
        <v>0</v>
      </c>
    </row>
    <row r="29" spans="1:49" ht="15" thickBot="1" x14ac:dyDescent="0.35">
      <c r="A29" s="69"/>
      <c r="B29" s="64"/>
      <c r="C29" s="64"/>
      <c r="D29" s="64"/>
      <c r="E29" s="64"/>
      <c r="F29" s="64"/>
      <c r="G29" s="64"/>
      <c r="H29" s="64"/>
      <c r="I29" s="64"/>
      <c r="J29" s="64"/>
      <c r="K29" s="64"/>
      <c r="L29" s="70"/>
      <c r="M29" s="70"/>
      <c r="N29" s="64"/>
      <c r="O29" s="64"/>
      <c r="P29" s="64"/>
      <c r="Q29" s="64"/>
      <c r="R29" s="64"/>
      <c r="S29" s="28"/>
      <c r="T29" s="29"/>
      <c r="U29" s="30"/>
      <c r="V29" s="154" t="s">
        <v>90</v>
      </c>
      <c r="W29" s="155"/>
      <c r="X29" s="156"/>
      <c r="Y29" s="30"/>
      <c r="Z29" s="141"/>
      <c r="AA29" s="142"/>
      <c r="AB29" s="142"/>
      <c r="AC29" s="142"/>
      <c r="AD29" s="143"/>
      <c r="AE29" s="29"/>
      <c r="AF29" s="114"/>
      <c r="AG29" s="114"/>
      <c r="AH29" s="114"/>
      <c r="AI29" s="114"/>
      <c r="AJ29" s="114"/>
      <c r="AK29" s="114"/>
      <c r="AL29" s="114"/>
      <c r="AM29" s="114"/>
      <c r="AN29" s="114"/>
      <c r="AO29" s="114"/>
      <c r="AP29" s="114"/>
      <c r="AQ29" s="114"/>
      <c r="AR29" s="114"/>
      <c r="AS29" s="114"/>
    </row>
    <row r="30" spans="1:49" ht="18.600000000000001" thickBot="1" x14ac:dyDescent="0.35">
      <c r="A30" s="69"/>
      <c r="B30" s="64"/>
      <c r="C30" s="64"/>
      <c r="D30" s="64"/>
      <c r="E30" s="64"/>
      <c r="F30" s="64"/>
      <c r="G30" s="64"/>
      <c r="H30" s="64"/>
      <c r="I30" s="64"/>
      <c r="J30" s="64"/>
      <c r="K30" s="64"/>
      <c r="L30" s="70"/>
      <c r="M30" s="70"/>
      <c r="N30" s="64"/>
      <c r="O30" s="64"/>
      <c r="P30" s="64"/>
      <c r="Q30" s="64"/>
      <c r="R30" s="64"/>
      <c r="S30" s="28"/>
      <c r="T30" s="29"/>
      <c r="U30" s="30"/>
      <c r="V30" s="134" t="s">
        <v>86</v>
      </c>
      <c r="W30" s="134" t="s">
        <v>87</v>
      </c>
      <c r="X30" s="135" t="s">
        <v>74</v>
      </c>
      <c r="Y30" s="30"/>
      <c r="Z30" s="141"/>
      <c r="AA30" s="142"/>
      <c r="AB30" s="142"/>
      <c r="AC30" s="142"/>
      <c r="AD30" s="143"/>
      <c r="AE30" s="29"/>
      <c r="AF30" s="114"/>
      <c r="AG30" s="114"/>
      <c r="AH30" s="114"/>
      <c r="AI30" s="114"/>
      <c r="AJ30" s="114"/>
      <c r="AK30" s="114"/>
      <c r="AL30" s="114"/>
      <c r="AM30" s="114"/>
      <c r="AN30" s="114"/>
      <c r="AO30" s="114"/>
      <c r="AP30" s="114"/>
      <c r="AQ30" s="114"/>
      <c r="AR30" s="114"/>
      <c r="AS30" s="114"/>
    </row>
    <row r="31" spans="1:49" x14ac:dyDescent="0.3">
      <c r="A31" s="69"/>
      <c r="B31" s="64"/>
      <c r="C31" s="64"/>
      <c r="D31" s="64"/>
      <c r="E31" s="64"/>
      <c r="F31" s="64"/>
      <c r="G31" s="64"/>
      <c r="H31" s="64"/>
      <c r="I31" s="64"/>
      <c r="J31" s="64"/>
      <c r="K31" s="64"/>
      <c r="L31" s="70"/>
      <c r="M31" s="70"/>
      <c r="N31" s="64"/>
      <c r="O31" s="64"/>
      <c r="P31" s="64"/>
      <c r="Q31" s="64"/>
      <c r="R31" s="64"/>
      <c r="S31" s="28"/>
      <c r="T31" s="29"/>
      <c r="U31" s="30"/>
      <c r="V31" s="131">
        <v>0</v>
      </c>
      <c r="W31" s="131">
        <v>0</v>
      </c>
      <c r="X31" s="123">
        <v>43265.041666666664</v>
      </c>
      <c r="Y31" s="30"/>
      <c r="Z31" s="141"/>
      <c r="AA31" s="142"/>
      <c r="AB31" s="142"/>
      <c r="AC31" s="142"/>
      <c r="AD31" s="143"/>
      <c r="AE31" s="29"/>
      <c r="AF31" s="114"/>
      <c r="AG31" s="114"/>
      <c r="AH31" s="114"/>
      <c r="AI31" s="114"/>
      <c r="AJ31" s="114"/>
      <c r="AK31" s="114"/>
      <c r="AL31" s="114"/>
      <c r="AM31" s="114"/>
      <c r="AN31" s="114"/>
      <c r="AO31" s="114"/>
      <c r="AP31" s="114"/>
      <c r="AQ31" s="114"/>
      <c r="AR31" s="114"/>
      <c r="AS31" s="114"/>
    </row>
    <row r="32" spans="1:49" x14ac:dyDescent="0.3">
      <c r="A32" s="69"/>
      <c r="B32" s="64"/>
      <c r="C32" s="64"/>
      <c r="D32" s="64"/>
      <c r="E32" s="64"/>
      <c r="F32" s="64"/>
      <c r="G32" s="64"/>
      <c r="H32" s="64"/>
      <c r="I32" s="64"/>
      <c r="J32" s="64"/>
      <c r="K32" s="64"/>
      <c r="L32" s="70"/>
      <c r="M32" s="70"/>
      <c r="N32" s="64"/>
      <c r="O32" s="64"/>
      <c r="P32" s="64"/>
      <c r="Q32" s="64"/>
      <c r="R32" s="64"/>
      <c r="S32" s="28"/>
      <c r="T32" s="29"/>
      <c r="U32" s="30"/>
      <c r="V32" s="131">
        <v>0</v>
      </c>
      <c r="W32" s="131">
        <v>0</v>
      </c>
      <c r="X32" s="124">
        <v>43265.083333333336</v>
      </c>
      <c r="Y32" s="30"/>
      <c r="Z32" s="141"/>
      <c r="AA32" s="142"/>
      <c r="AB32" s="142"/>
      <c r="AC32" s="142"/>
      <c r="AD32" s="143"/>
      <c r="AE32" s="29"/>
      <c r="AF32" s="114"/>
      <c r="AG32" s="114"/>
      <c r="AH32" s="114"/>
      <c r="AI32" s="114"/>
      <c r="AJ32" s="114"/>
      <c r="AK32" s="114"/>
      <c r="AL32" s="114"/>
      <c r="AM32" s="114"/>
      <c r="AN32" s="114"/>
      <c r="AO32" s="114"/>
      <c r="AP32" s="114"/>
      <c r="AQ32" s="114"/>
      <c r="AR32" s="114"/>
      <c r="AS32" s="114"/>
    </row>
    <row r="33" spans="1:45" x14ac:dyDescent="0.3">
      <c r="A33" s="69"/>
      <c r="B33" s="64"/>
      <c r="C33" s="64"/>
      <c r="D33" s="64"/>
      <c r="E33" s="64"/>
      <c r="F33" s="64"/>
      <c r="G33" s="64"/>
      <c r="H33" s="64"/>
      <c r="I33" s="64"/>
      <c r="J33" s="64"/>
      <c r="K33" s="64"/>
      <c r="L33" s="70"/>
      <c r="M33" s="70"/>
      <c r="N33" s="64"/>
      <c r="O33" s="64"/>
      <c r="P33" s="64"/>
      <c r="Q33" s="64"/>
      <c r="R33" s="64"/>
      <c r="S33" s="28"/>
      <c r="T33" s="29"/>
      <c r="U33" s="30"/>
      <c r="V33" s="131">
        <v>2</v>
      </c>
      <c r="W33" s="131">
        <v>0</v>
      </c>
      <c r="X33" s="124">
        <v>43265.125</v>
      </c>
      <c r="Y33" s="30"/>
      <c r="Z33" s="141"/>
      <c r="AA33" s="142"/>
      <c r="AB33" s="142"/>
      <c r="AC33" s="142"/>
      <c r="AD33" s="143"/>
      <c r="AE33" s="29"/>
      <c r="AF33" s="114"/>
      <c r="AG33" s="114"/>
      <c r="AH33" s="114"/>
      <c r="AI33" s="114"/>
      <c r="AJ33" s="114"/>
      <c r="AK33" s="114"/>
      <c r="AL33" s="114"/>
      <c r="AM33" s="114"/>
      <c r="AN33" s="114"/>
      <c r="AO33" s="114"/>
      <c r="AP33" s="114"/>
      <c r="AQ33" s="114"/>
      <c r="AR33" s="114"/>
      <c r="AS33" s="114"/>
    </row>
    <row r="34" spans="1:45" x14ac:dyDescent="0.3">
      <c r="A34" s="28"/>
      <c r="B34" s="29"/>
      <c r="C34" s="29"/>
      <c r="D34" s="29"/>
      <c r="E34" s="29"/>
      <c r="F34" s="29"/>
      <c r="G34" s="29"/>
      <c r="H34" s="29"/>
      <c r="I34" s="29"/>
      <c r="J34" s="29"/>
      <c r="K34" s="29"/>
      <c r="L34" s="29"/>
      <c r="M34" s="29"/>
      <c r="N34" s="29"/>
      <c r="O34" s="29"/>
      <c r="P34" s="29"/>
      <c r="Q34" s="29"/>
      <c r="R34" s="29"/>
      <c r="S34" s="28"/>
      <c r="T34" s="29"/>
      <c r="U34" s="30"/>
      <c r="V34" s="131">
        <v>2</v>
      </c>
      <c r="W34" s="131">
        <v>0</v>
      </c>
      <c r="X34" s="124">
        <v>43265.166666666664</v>
      </c>
      <c r="Y34" s="30"/>
      <c r="Z34" s="141"/>
      <c r="AA34" s="142"/>
      <c r="AB34" s="142"/>
      <c r="AC34" s="142"/>
      <c r="AD34" s="143"/>
      <c r="AE34" s="29"/>
      <c r="AF34" s="114"/>
      <c r="AG34" s="114"/>
      <c r="AH34" s="114"/>
      <c r="AI34" s="114"/>
      <c r="AJ34" s="114"/>
      <c r="AK34" s="114"/>
      <c r="AL34" s="114"/>
      <c r="AM34" s="114"/>
      <c r="AN34" s="114"/>
      <c r="AO34" s="114"/>
      <c r="AP34" s="114"/>
      <c r="AQ34" s="114"/>
      <c r="AR34" s="114"/>
      <c r="AS34" s="114"/>
    </row>
    <row r="35" spans="1:45" x14ac:dyDescent="0.3">
      <c r="A35" s="28"/>
      <c r="B35" s="29"/>
      <c r="C35" s="29"/>
      <c r="D35" s="29"/>
      <c r="E35" s="29"/>
      <c r="F35" s="29"/>
      <c r="G35" s="29"/>
      <c r="H35" s="29"/>
      <c r="I35" s="29"/>
      <c r="J35" s="29"/>
      <c r="K35" s="29"/>
      <c r="L35" s="29"/>
      <c r="M35" s="29"/>
      <c r="N35" s="29"/>
      <c r="O35" s="29"/>
      <c r="P35" s="29"/>
      <c r="Q35" s="29"/>
      <c r="R35" s="29"/>
      <c r="S35" s="28"/>
      <c r="T35" s="29"/>
      <c r="U35" s="30"/>
      <c r="V35" s="131">
        <v>0</v>
      </c>
      <c r="W35" s="131">
        <v>0</v>
      </c>
      <c r="X35" s="124">
        <v>43265.208333333336</v>
      </c>
      <c r="Y35" s="30"/>
      <c r="Z35" s="141"/>
      <c r="AA35" s="142"/>
      <c r="AB35" s="142"/>
      <c r="AC35" s="142"/>
      <c r="AD35" s="143"/>
      <c r="AE35" s="29"/>
      <c r="AF35" s="114"/>
      <c r="AG35" s="114"/>
      <c r="AH35" s="114"/>
      <c r="AI35" s="114"/>
      <c r="AJ35" s="114"/>
      <c r="AK35" s="114"/>
      <c r="AL35" s="114"/>
      <c r="AM35" s="114"/>
      <c r="AN35" s="114"/>
      <c r="AO35" s="114"/>
      <c r="AP35" s="114"/>
      <c r="AQ35" s="114"/>
      <c r="AR35" s="114"/>
      <c r="AS35" s="114"/>
    </row>
    <row r="36" spans="1:45" x14ac:dyDescent="0.3">
      <c r="A36" s="28"/>
      <c r="B36" s="29"/>
      <c r="C36" s="29"/>
      <c r="D36" s="29"/>
      <c r="E36" s="29"/>
      <c r="F36" s="29"/>
      <c r="G36" s="29"/>
      <c r="H36" s="29"/>
      <c r="I36" s="29"/>
      <c r="J36" s="29"/>
      <c r="K36" s="29"/>
      <c r="L36" s="29"/>
      <c r="M36" s="29"/>
      <c r="N36" s="29"/>
      <c r="O36" s="29"/>
      <c r="P36" s="29"/>
      <c r="Q36" s="29"/>
      <c r="R36" s="29"/>
      <c r="S36" s="28"/>
      <c r="T36" s="29"/>
      <c r="U36" s="30"/>
      <c r="V36" s="131">
        <v>0</v>
      </c>
      <c r="W36" s="131">
        <v>0</v>
      </c>
      <c r="X36" s="124">
        <v>43265.25</v>
      </c>
      <c r="Y36" s="30"/>
      <c r="Z36" s="141"/>
      <c r="AA36" s="142"/>
      <c r="AB36" s="142"/>
      <c r="AC36" s="142"/>
      <c r="AD36" s="143"/>
      <c r="AE36" s="29"/>
      <c r="AF36" s="114"/>
      <c r="AG36" s="114"/>
      <c r="AH36" s="114"/>
      <c r="AI36" s="114"/>
      <c r="AJ36" s="114"/>
      <c r="AK36" s="114"/>
      <c r="AL36" s="114"/>
      <c r="AM36" s="114"/>
      <c r="AN36" s="114"/>
      <c r="AO36" s="114"/>
      <c r="AP36" s="114"/>
      <c r="AQ36" s="114"/>
      <c r="AR36" s="114"/>
      <c r="AS36" s="114"/>
    </row>
    <row r="37" spans="1:45" x14ac:dyDescent="0.3">
      <c r="A37" s="28"/>
      <c r="B37" s="29"/>
      <c r="C37" s="29"/>
      <c r="D37" s="29"/>
      <c r="E37" s="29"/>
      <c r="F37" s="29"/>
      <c r="G37" s="29"/>
      <c r="H37" s="29"/>
      <c r="I37" s="29"/>
      <c r="J37" s="29"/>
      <c r="K37" s="29"/>
      <c r="L37" s="29"/>
      <c r="M37" s="29"/>
      <c r="N37" s="29"/>
      <c r="O37" s="29"/>
      <c r="P37" s="29"/>
      <c r="Q37" s="29"/>
      <c r="R37" s="29"/>
      <c r="S37" s="28"/>
      <c r="T37" s="29"/>
      <c r="U37" s="30"/>
      <c r="V37" s="131">
        <v>0</v>
      </c>
      <c r="W37" s="131">
        <v>0</v>
      </c>
      <c r="X37" s="124">
        <v>43265.291666666664</v>
      </c>
      <c r="Y37" s="30"/>
      <c r="Z37" s="141"/>
      <c r="AA37" s="142"/>
      <c r="AB37" s="142"/>
      <c r="AC37" s="142"/>
      <c r="AD37" s="143"/>
      <c r="AE37" s="29"/>
      <c r="AF37" s="114"/>
      <c r="AG37" s="114"/>
      <c r="AH37" s="114"/>
      <c r="AI37" s="114"/>
      <c r="AJ37" s="114"/>
      <c r="AK37" s="114"/>
      <c r="AL37" s="114"/>
      <c r="AM37" s="114"/>
      <c r="AN37" s="114"/>
      <c r="AO37" s="114"/>
      <c r="AP37" s="114"/>
      <c r="AQ37" s="114"/>
      <c r="AR37" s="114"/>
      <c r="AS37" s="114"/>
    </row>
    <row r="38" spans="1:45" x14ac:dyDescent="0.3">
      <c r="A38" s="28"/>
      <c r="B38" s="29"/>
      <c r="C38" s="29"/>
      <c r="D38" s="29"/>
      <c r="E38" s="29"/>
      <c r="F38" s="29"/>
      <c r="G38" s="29"/>
      <c r="H38" s="29"/>
      <c r="I38" s="29"/>
      <c r="J38" s="29"/>
      <c r="K38" s="29"/>
      <c r="L38" s="29"/>
      <c r="M38" s="29"/>
      <c r="N38" s="29"/>
      <c r="O38" s="29"/>
      <c r="P38" s="29"/>
      <c r="Q38" s="29"/>
      <c r="R38" s="29"/>
      <c r="S38" s="28"/>
      <c r="T38" s="29"/>
      <c r="U38" s="30"/>
      <c r="V38" s="131">
        <v>0</v>
      </c>
      <c r="W38" s="131">
        <v>0</v>
      </c>
      <c r="X38" s="124">
        <v>43265.333333333336</v>
      </c>
      <c r="Y38" s="30"/>
      <c r="Z38" s="141"/>
      <c r="AA38" s="142"/>
      <c r="AB38" s="142"/>
      <c r="AC38" s="142"/>
      <c r="AD38" s="143"/>
      <c r="AE38" s="29"/>
      <c r="AF38" s="114"/>
      <c r="AG38" s="114"/>
      <c r="AH38" s="114"/>
      <c r="AI38" s="114"/>
      <c r="AJ38" s="114"/>
      <c r="AK38" s="114"/>
      <c r="AL38" s="114"/>
      <c r="AM38" s="114"/>
      <c r="AN38" s="114"/>
      <c r="AO38" s="114"/>
      <c r="AP38" s="114"/>
      <c r="AQ38" s="114"/>
      <c r="AR38" s="114"/>
      <c r="AS38" s="114"/>
    </row>
    <row r="39" spans="1:45" x14ac:dyDescent="0.3">
      <c r="A39" s="28"/>
      <c r="B39" s="29"/>
      <c r="C39" s="29"/>
      <c r="D39" s="29"/>
      <c r="E39" s="29"/>
      <c r="F39" s="29"/>
      <c r="G39" s="29"/>
      <c r="H39" s="29"/>
      <c r="I39" s="29"/>
      <c r="J39" s="29"/>
      <c r="K39" s="29"/>
      <c r="L39" s="29"/>
      <c r="M39" s="29"/>
      <c r="N39" s="29"/>
      <c r="O39" s="29"/>
      <c r="P39" s="29"/>
      <c r="Q39" s="29"/>
      <c r="R39" s="29"/>
      <c r="S39" s="28"/>
      <c r="T39" s="29"/>
      <c r="U39" s="30"/>
      <c r="V39" s="131">
        <v>0</v>
      </c>
      <c r="W39" s="131">
        <v>0</v>
      </c>
      <c r="X39" s="124">
        <v>43265.375</v>
      </c>
      <c r="Y39" s="30"/>
      <c r="Z39" s="141"/>
      <c r="AA39" s="142"/>
      <c r="AB39" s="142"/>
      <c r="AC39" s="142"/>
      <c r="AD39" s="143"/>
      <c r="AE39" s="29"/>
      <c r="AF39" s="114"/>
      <c r="AG39" s="114"/>
      <c r="AH39" s="114"/>
      <c r="AI39" s="114"/>
      <c r="AJ39" s="114"/>
      <c r="AK39" s="114"/>
      <c r="AL39" s="114"/>
      <c r="AM39" s="114"/>
      <c r="AN39" s="114"/>
      <c r="AO39" s="114"/>
      <c r="AP39" s="114"/>
      <c r="AQ39" s="114"/>
      <c r="AR39" s="114"/>
      <c r="AS39" s="114"/>
    </row>
    <row r="40" spans="1:45" x14ac:dyDescent="0.3">
      <c r="A40" s="28"/>
      <c r="B40" s="29"/>
      <c r="C40" s="29"/>
      <c r="D40" s="29"/>
      <c r="E40" s="29"/>
      <c r="F40" s="29"/>
      <c r="G40" s="29"/>
      <c r="H40" s="29"/>
      <c r="I40" s="29"/>
      <c r="J40" s="29"/>
      <c r="K40" s="29"/>
      <c r="L40" s="29"/>
      <c r="M40" s="29"/>
      <c r="N40" s="29"/>
      <c r="O40" s="29"/>
      <c r="P40" s="29"/>
      <c r="Q40" s="29"/>
      <c r="R40" s="29"/>
      <c r="S40" s="28"/>
      <c r="T40" s="29"/>
      <c r="U40" s="30"/>
      <c r="V40" s="131">
        <v>0</v>
      </c>
      <c r="W40" s="131">
        <v>0</v>
      </c>
      <c r="X40" s="124">
        <v>43265.416666666664</v>
      </c>
      <c r="Y40" s="30"/>
      <c r="Z40" s="141"/>
      <c r="AA40" s="142"/>
      <c r="AB40" s="142"/>
      <c r="AC40" s="142"/>
      <c r="AD40" s="143"/>
      <c r="AE40" s="29"/>
      <c r="AF40" s="114"/>
      <c r="AG40" s="114"/>
      <c r="AH40" s="114"/>
      <c r="AI40" s="114"/>
      <c r="AJ40" s="114"/>
      <c r="AK40" s="114"/>
      <c r="AL40" s="114"/>
      <c r="AM40" s="114"/>
      <c r="AN40" s="114"/>
      <c r="AO40" s="114"/>
      <c r="AP40" s="114"/>
      <c r="AQ40" s="114"/>
      <c r="AR40" s="114"/>
      <c r="AS40" s="114"/>
    </row>
    <row r="41" spans="1:45" x14ac:dyDescent="0.3">
      <c r="A41" s="28"/>
      <c r="B41" s="29"/>
      <c r="C41" s="29"/>
      <c r="D41" s="29"/>
      <c r="E41" s="29"/>
      <c r="F41" s="29"/>
      <c r="G41" s="29"/>
      <c r="H41" s="29"/>
      <c r="I41" s="29"/>
      <c r="J41" s="29"/>
      <c r="K41" s="29"/>
      <c r="L41" s="29"/>
      <c r="M41" s="29"/>
      <c r="N41" s="29"/>
      <c r="O41" s="29"/>
      <c r="P41" s="29"/>
      <c r="Q41" s="29"/>
      <c r="R41" s="29"/>
      <c r="S41" s="28"/>
      <c r="T41" s="29"/>
      <c r="U41" s="30"/>
      <c r="V41" s="131">
        <v>0</v>
      </c>
      <c r="W41" s="131">
        <v>0</v>
      </c>
      <c r="X41" s="124">
        <v>43265.458333333336</v>
      </c>
      <c r="Y41" s="30"/>
      <c r="Z41" s="141"/>
      <c r="AA41" s="142"/>
      <c r="AB41" s="142"/>
      <c r="AC41" s="142"/>
      <c r="AD41" s="143"/>
      <c r="AE41" s="29"/>
      <c r="AF41" s="114"/>
      <c r="AG41" s="114"/>
      <c r="AH41" s="114"/>
      <c r="AI41" s="114"/>
      <c r="AJ41" s="114"/>
      <c r="AK41" s="114"/>
      <c r="AL41" s="114"/>
      <c r="AM41" s="114"/>
      <c r="AN41" s="114"/>
      <c r="AO41" s="114"/>
      <c r="AP41" s="114"/>
      <c r="AQ41" s="114"/>
      <c r="AR41" s="114"/>
      <c r="AS41" s="114"/>
    </row>
    <row r="42" spans="1:45" x14ac:dyDescent="0.3">
      <c r="A42" s="28"/>
      <c r="B42" s="29"/>
      <c r="C42" s="29"/>
      <c r="D42" s="29"/>
      <c r="E42" s="29"/>
      <c r="F42" s="29"/>
      <c r="G42" s="29"/>
      <c r="H42" s="29"/>
      <c r="I42" s="29"/>
      <c r="J42" s="29"/>
      <c r="K42" s="29"/>
      <c r="L42" s="29"/>
      <c r="M42" s="29"/>
      <c r="N42" s="29"/>
      <c r="O42" s="29"/>
      <c r="P42" s="29"/>
      <c r="Q42" s="29"/>
      <c r="R42" s="29"/>
      <c r="S42" s="28"/>
      <c r="T42" s="29"/>
      <c r="U42" s="30"/>
      <c r="V42" s="131">
        <v>0</v>
      </c>
      <c r="W42" s="131">
        <v>0</v>
      </c>
      <c r="X42" s="124">
        <v>43265.5</v>
      </c>
      <c r="Y42" s="30"/>
      <c r="Z42" s="141"/>
      <c r="AA42" s="142"/>
      <c r="AB42" s="142"/>
      <c r="AC42" s="142"/>
      <c r="AD42" s="143"/>
      <c r="AE42" s="29"/>
      <c r="AF42" s="114"/>
      <c r="AG42" s="114"/>
      <c r="AH42" s="114"/>
      <c r="AI42" s="114"/>
      <c r="AJ42" s="114"/>
      <c r="AK42" s="114"/>
      <c r="AL42" s="114"/>
      <c r="AM42" s="114"/>
      <c r="AN42" s="114"/>
      <c r="AO42" s="114"/>
      <c r="AP42" s="114"/>
      <c r="AQ42" s="114"/>
      <c r="AR42" s="114"/>
      <c r="AS42" s="114"/>
    </row>
    <row r="43" spans="1:45" x14ac:dyDescent="0.3">
      <c r="A43" s="28"/>
      <c r="B43" s="29"/>
      <c r="C43" s="29"/>
      <c r="D43" s="29"/>
      <c r="E43" s="29"/>
      <c r="F43" s="29"/>
      <c r="G43" s="29"/>
      <c r="H43" s="29"/>
      <c r="I43" s="29"/>
      <c r="J43" s="29"/>
      <c r="K43" s="29"/>
      <c r="L43" s="29"/>
      <c r="M43" s="29"/>
      <c r="N43" s="29"/>
      <c r="O43" s="29"/>
      <c r="P43" s="29"/>
      <c r="Q43" s="29"/>
      <c r="R43" s="29"/>
      <c r="S43" s="28"/>
      <c r="T43" s="29"/>
      <c r="U43" s="30"/>
      <c r="V43" s="131">
        <v>0</v>
      </c>
      <c r="W43" s="131">
        <v>0</v>
      </c>
      <c r="X43" s="124">
        <v>43265.541666666664</v>
      </c>
      <c r="Y43" s="30"/>
      <c r="Z43" s="141"/>
      <c r="AA43" s="142"/>
      <c r="AB43" s="142"/>
      <c r="AC43" s="142"/>
      <c r="AD43" s="143"/>
      <c r="AE43" s="29"/>
      <c r="AF43" s="114"/>
      <c r="AG43" s="114"/>
      <c r="AH43" s="114"/>
      <c r="AI43" s="114"/>
      <c r="AJ43" s="114"/>
      <c r="AK43" s="114"/>
      <c r="AL43" s="114"/>
      <c r="AM43" s="114"/>
      <c r="AN43" s="114"/>
      <c r="AO43" s="114"/>
      <c r="AP43" s="114"/>
      <c r="AQ43" s="114"/>
      <c r="AR43" s="114"/>
      <c r="AS43" s="114"/>
    </row>
    <row r="44" spans="1:45" x14ac:dyDescent="0.3">
      <c r="A44" s="28"/>
      <c r="B44" s="29"/>
      <c r="C44" s="29"/>
      <c r="D44" s="29"/>
      <c r="E44" s="29"/>
      <c r="F44" s="29"/>
      <c r="G44" s="29"/>
      <c r="H44" s="29"/>
      <c r="I44" s="29"/>
      <c r="J44" s="29"/>
      <c r="K44" s="29"/>
      <c r="L44" s="29"/>
      <c r="M44" s="29"/>
      <c r="N44" s="29"/>
      <c r="O44" s="29"/>
      <c r="P44" s="29"/>
      <c r="Q44" s="29"/>
      <c r="R44" s="29"/>
      <c r="S44" s="28"/>
      <c r="T44" s="29"/>
      <c r="U44" s="30"/>
      <c r="V44" s="131">
        <v>0</v>
      </c>
      <c r="W44" s="131">
        <v>0</v>
      </c>
      <c r="X44" s="124">
        <v>43265.583333333336</v>
      </c>
      <c r="Y44" s="30"/>
      <c r="Z44" s="141"/>
      <c r="AA44" s="142"/>
      <c r="AB44" s="142"/>
      <c r="AC44" s="142"/>
      <c r="AD44" s="143"/>
      <c r="AE44" s="29"/>
      <c r="AF44" s="114"/>
      <c r="AG44" s="114"/>
      <c r="AH44" s="114"/>
      <c r="AI44" s="114"/>
      <c r="AJ44" s="114"/>
      <c r="AK44" s="114"/>
      <c r="AL44" s="114"/>
      <c r="AM44" s="114"/>
      <c r="AN44" s="114"/>
      <c r="AO44" s="114"/>
      <c r="AP44" s="114"/>
      <c r="AQ44" s="114"/>
      <c r="AR44" s="114"/>
      <c r="AS44" s="114"/>
    </row>
    <row r="45" spans="1:45" x14ac:dyDescent="0.3">
      <c r="A45" s="28"/>
      <c r="B45" s="29"/>
      <c r="C45" s="29"/>
      <c r="D45" s="29"/>
      <c r="E45" s="29"/>
      <c r="F45" s="29"/>
      <c r="G45" s="29"/>
      <c r="H45" s="29"/>
      <c r="I45" s="29"/>
      <c r="J45" s="29"/>
      <c r="K45" s="29"/>
      <c r="L45" s="29"/>
      <c r="M45" s="29"/>
      <c r="N45" s="29"/>
      <c r="O45" s="29"/>
      <c r="P45" s="29"/>
      <c r="Q45" s="29"/>
      <c r="R45" s="29"/>
      <c r="S45" s="28"/>
      <c r="T45" s="29"/>
      <c r="U45" s="30"/>
      <c r="V45" s="131">
        <v>0</v>
      </c>
      <c r="W45" s="131">
        <v>0</v>
      </c>
      <c r="X45" s="124">
        <v>43265.625</v>
      </c>
      <c r="Y45" s="30"/>
      <c r="Z45" s="141"/>
      <c r="AA45" s="142"/>
      <c r="AB45" s="142"/>
      <c r="AC45" s="142"/>
      <c r="AD45" s="143"/>
      <c r="AE45" s="29"/>
      <c r="AF45" s="114"/>
      <c r="AG45" s="114"/>
      <c r="AH45" s="114"/>
      <c r="AI45" s="114"/>
      <c r="AJ45" s="114"/>
      <c r="AK45" s="114"/>
      <c r="AL45" s="114"/>
      <c r="AM45" s="114"/>
      <c r="AN45" s="114"/>
      <c r="AO45" s="114"/>
      <c r="AP45" s="114"/>
      <c r="AQ45" s="114"/>
      <c r="AR45" s="114"/>
      <c r="AS45" s="114"/>
    </row>
    <row r="46" spans="1:45" ht="15.6" customHeight="1" x14ac:dyDescent="0.3">
      <c r="A46" s="28"/>
      <c r="B46" s="29"/>
      <c r="C46" s="29"/>
      <c r="D46" s="29"/>
      <c r="E46" s="29"/>
      <c r="F46" s="29"/>
      <c r="G46" s="29"/>
      <c r="H46" s="29"/>
      <c r="I46" s="29"/>
      <c r="J46" s="29"/>
      <c r="K46" s="29"/>
      <c r="L46" s="29"/>
      <c r="M46" s="29"/>
      <c r="N46" s="29"/>
      <c r="O46" s="29"/>
      <c r="P46" s="29"/>
      <c r="Q46" s="29"/>
      <c r="R46" s="29"/>
      <c r="S46" s="28"/>
      <c r="T46" s="29"/>
      <c r="U46" s="30"/>
      <c r="V46" s="131">
        <v>0</v>
      </c>
      <c r="W46" s="131">
        <v>0</v>
      </c>
      <c r="X46" s="124">
        <v>43265.666666666664</v>
      </c>
      <c r="Y46" s="30"/>
      <c r="Z46" s="141"/>
      <c r="AA46" s="142"/>
      <c r="AB46" s="142"/>
      <c r="AC46" s="142"/>
      <c r="AD46" s="143"/>
      <c r="AE46" s="29"/>
      <c r="AF46" s="114"/>
      <c r="AG46" s="114"/>
      <c r="AH46" s="114"/>
      <c r="AI46" s="114"/>
      <c r="AJ46" s="114"/>
      <c r="AK46" s="114"/>
      <c r="AL46" s="114"/>
      <c r="AM46" s="114"/>
      <c r="AN46" s="114"/>
      <c r="AO46" s="114"/>
      <c r="AP46" s="114"/>
      <c r="AQ46" s="114"/>
      <c r="AR46" s="114"/>
      <c r="AS46" s="114"/>
    </row>
    <row r="47" spans="1:45" x14ac:dyDescent="0.3">
      <c r="A47" s="28"/>
      <c r="B47" s="29"/>
      <c r="C47" s="29"/>
      <c r="D47" s="29"/>
      <c r="E47" s="29"/>
      <c r="F47" s="29"/>
      <c r="G47" s="29"/>
      <c r="H47" s="29"/>
      <c r="I47" s="29"/>
      <c r="J47" s="29"/>
      <c r="K47" s="29"/>
      <c r="L47" s="29"/>
      <c r="M47" s="29"/>
      <c r="N47" s="29"/>
      <c r="O47" s="29"/>
      <c r="P47" s="29"/>
      <c r="Q47" s="29"/>
      <c r="R47" s="29"/>
      <c r="S47" s="28"/>
      <c r="T47" s="29"/>
      <c r="U47" s="30"/>
      <c r="V47" s="131">
        <v>0</v>
      </c>
      <c r="W47" s="131">
        <v>0</v>
      </c>
      <c r="X47" s="124">
        <v>43265.708333333336</v>
      </c>
      <c r="Y47" s="30"/>
      <c r="Z47" s="141"/>
      <c r="AA47" s="142"/>
      <c r="AB47" s="142"/>
      <c r="AC47" s="142"/>
      <c r="AD47" s="143"/>
      <c r="AE47" s="29"/>
      <c r="AF47" s="114"/>
      <c r="AG47" s="114"/>
      <c r="AH47" s="114"/>
      <c r="AI47" s="114"/>
      <c r="AJ47" s="114"/>
      <c r="AK47" s="114"/>
      <c r="AL47" s="114"/>
      <c r="AM47" s="114"/>
      <c r="AN47" s="114"/>
      <c r="AO47" s="114"/>
      <c r="AP47" s="114"/>
      <c r="AQ47" s="114"/>
      <c r="AR47" s="114"/>
      <c r="AS47" s="114"/>
    </row>
    <row r="48" spans="1:45" x14ac:dyDescent="0.3">
      <c r="A48" s="28"/>
      <c r="B48" s="29"/>
      <c r="C48" s="29"/>
      <c r="D48" s="29"/>
      <c r="E48" s="29"/>
      <c r="F48" s="29"/>
      <c r="G48" s="29"/>
      <c r="H48" s="29"/>
      <c r="I48" s="29"/>
      <c r="J48" s="29"/>
      <c r="K48" s="29"/>
      <c r="L48" s="29"/>
      <c r="M48" s="29"/>
      <c r="N48" s="29"/>
      <c r="O48" s="29"/>
      <c r="P48" s="29"/>
      <c r="Q48" s="29"/>
      <c r="R48" s="29"/>
      <c r="S48" s="28"/>
      <c r="T48" s="29"/>
      <c r="U48" s="30"/>
      <c r="V48" s="131">
        <v>0</v>
      </c>
      <c r="W48" s="131">
        <v>0</v>
      </c>
      <c r="X48" s="124">
        <v>43265.75</v>
      </c>
      <c r="Y48" s="30"/>
      <c r="Z48" s="141"/>
      <c r="AA48" s="142"/>
      <c r="AB48" s="142"/>
      <c r="AC48" s="142"/>
      <c r="AD48" s="143"/>
      <c r="AE48" s="29"/>
      <c r="AF48" s="114"/>
      <c r="AG48" s="114"/>
      <c r="AH48" s="114"/>
      <c r="AI48" s="114"/>
      <c r="AJ48" s="114"/>
      <c r="AK48" s="114"/>
      <c r="AL48" s="114"/>
      <c r="AM48" s="114"/>
      <c r="AN48" s="114"/>
      <c r="AO48" s="114"/>
      <c r="AP48" s="114"/>
      <c r="AQ48" s="114"/>
      <c r="AR48" s="114"/>
      <c r="AS48" s="114"/>
    </row>
    <row r="49" spans="1:45" x14ac:dyDescent="0.3">
      <c r="A49" s="28"/>
      <c r="B49" s="29"/>
      <c r="C49" s="29"/>
      <c r="D49" s="29"/>
      <c r="E49" s="29"/>
      <c r="F49" s="29"/>
      <c r="G49" s="29"/>
      <c r="H49" s="29"/>
      <c r="I49" s="29"/>
      <c r="J49" s="29"/>
      <c r="K49" s="29"/>
      <c r="L49" s="29"/>
      <c r="M49" s="29"/>
      <c r="N49" s="29"/>
      <c r="O49" s="29"/>
      <c r="P49" s="29"/>
      <c r="Q49" s="29"/>
      <c r="R49" s="29"/>
      <c r="S49" s="28"/>
      <c r="T49" s="29"/>
      <c r="U49" s="30"/>
      <c r="V49" s="131">
        <v>0</v>
      </c>
      <c r="W49" s="131">
        <v>0</v>
      </c>
      <c r="X49" s="124">
        <v>43265.791666666664</v>
      </c>
      <c r="Y49" s="30"/>
      <c r="Z49" s="141"/>
      <c r="AA49" s="142"/>
      <c r="AB49" s="142"/>
      <c r="AC49" s="142"/>
      <c r="AD49" s="143"/>
      <c r="AE49" s="29"/>
      <c r="AF49" s="114"/>
      <c r="AG49" s="114"/>
      <c r="AH49" s="114"/>
      <c r="AI49" s="114"/>
      <c r="AJ49" s="114"/>
      <c r="AK49" s="114"/>
      <c r="AL49" s="114"/>
      <c r="AM49" s="114"/>
      <c r="AN49" s="114"/>
      <c r="AO49" s="114"/>
      <c r="AP49" s="114"/>
      <c r="AQ49" s="114"/>
      <c r="AR49" s="114"/>
      <c r="AS49" s="114"/>
    </row>
    <row r="50" spans="1:45" x14ac:dyDescent="0.3">
      <c r="A50" s="28"/>
      <c r="B50" s="29"/>
      <c r="C50" s="29"/>
      <c r="D50" s="29"/>
      <c r="E50" s="29"/>
      <c r="F50" s="29"/>
      <c r="G50" s="29"/>
      <c r="H50" s="29"/>
      <c r="I50" s="29"/>
      <c r="J50" s="29"/>
      <c r="K50" s="29"/>
      <c r="L50" s="29"/>
      <c r="M50" s="29"/>
      <c r="N50" s="29"/>
      <c r="O50" s="29"/>
      <c r="P50" s="29"/>
      <c r="Q50" s="29"/>
      <c r="R50" s="29"/>
      <c r="S50" s="28"/>
      <c r="T50" s="29"/>
      <c r="U50" s="30"/>
      <c r="V50" s="131">
        <v>0</v>
      </c>
      <c r="W50" s="131">
        <v>0</v>
      </c>
      <c r="X50" s="124">
        <v>43265.833333333336</v>
      </c>
      <c r="Y50" s="30"/>
      <c r="Z50" s="141"/>
      <c r="AA50" s="142"/>
      <c r="AB50" s="142"/>
      <c r="AC50" s="142"/>
      <c r="AD50" s="143"/>
      <c r="AE50" s="29"/>
      <c r="AF50" s="114"/>
      <c r="AG50" s="114"/>
      <c r="AH50" s="114"/>
      <c r="AI50" s="114"/>
      <c r="AJ50" s="114"/>
      <c r="AK50" s="114"/>
      <c r="AL50" s="114"/>
      <c r="AM50" s="114"/>
      <c r="AN50" s="114"/>
      <c r="AO50" s="114"/>
      <c r="AP50" s="114"/>
      <c r="AQ50" s="114"/>
      <c r="AR50" s="114"/>
      <c r="AS50" s="114"/>
    </row>
    <row r="51" spans="1:45" x14ac:dyDescent="0.3">
      <c r="A51" s="28"/>
      <c r="B51" s="29"/>
      <c r="C51" s="29"/>
      <c r="D51" s="29"/>
      <c r="E51" s="29"/>
      <c r="F51" s="29"/>
      <c r="G51" s="29"/>
      <c r="H51" s="29"/>
      <c r="I51" s="29"/>
      <c r="J51" s="29"/>
      <c r="K51" s="29"/>
      <c r="L51" s="29"/>
      <c r="M51" s="29"/>
      <c r="N51" s="29"/>
      <c r="O51" s="29"/>
      <c r="P51" s="29"/>
      <c r="Q51" s="29"/>
      <c r="R51" s="29"/>
      <c r="S51" s="28"/>
      <c r="T51" s="29"/>
      <c r="U51" s="30"/>
      <c r="V51" s="131">
        <v>2</v>
      </c>
      <c r="W51" s="131">
        <v>0</v>
      </c>
      <c r="X51" s="124">
        <v>43265.875</v>
      </c>
      <c r="Y51" s="30"/>
      <c r="Z51" s="141"/>
      <c r="AA51" s="142"/>
      <c r="AB51" s="142"/>
      <c r="AC51" s="142"/>
      <c r="AD51" s="143"/>
      <c r="AE51" s="29"/>
      <c r="AF51" s="114"/>
      <c r="AG51" s="114"/>
      <c r="AH51" s="114"/>
      <c r="AI51" s="114"/>
      <c r="AJ51" s="114"/>
      <c r="AK51" s="114"/>
      <c r="AL51" s="114"/>
      <c r="AM51" s="114"/>
      <c r="AN51" s="114"/>
      <c r="AO51" s="114"/>
      <c r="AP51" s="114"/>
      <c r="AQ51" s="114"/>
      <c r="AR51" s="114"/>
      <c r="AS51" s="114"/>
    </row>
    <row r="52" spans="1:45" x14ac:dyDescent="0.3">
      <c r="A52" s="28"/>
      <c r="B52" s="29"/>
      <c r="C52" s="29"/>
      <c r="D52" s="29"/>
      <c r="E52" s="29"/>
      <c r="F52" s="29"/>
      <c r="G52" s="29"/>
      <c r="H52" s="29"/>
      <c r="I52" s="29"/>
      <c r="J52" s="29"/>
      <c r="K52" s="29"/>
      <c r="L52" s="29"/>
      <c r="M52" s="29"/>
      <c r="N52" s="29"/>
      <c r="O52" s="29"/>
      <c r="P52" s="29"/>
      <c r="Q52" s="29"/>
      <c r="R52" s="29"/>
      <c r="S52" s="28"/>
      <c r="T52" s="29"/>
      <c r="U52" s="30"/>
      <c r="V52" s="131">
        <v>2</v>
      </c>
      <c r="W52" s="131">
        <v>0</v>
      </c>
      <c r="X52" s="124">
        <v>43265.916666666664</v>
      </c>
      <c r="Y52" s="30"/>
      <c r="Z52" s="141"/>
      <c r="AA52" s="142"/>
      <c r="AB52" s="142"/>
      <c r="AC52" s="142"/>
      <c r="AD52" s="143"/>
      <c r="AE52" s="29"/>
      <c r="AF52" s="114"/>
      <c r="AG52" s="114"/>
      <c r="AH52" s="114"/>
      <c r="AI52" s="114"/>
      <c r="AJ52" s="114"/>
      <c r="AK52" s="114"/>
      <c r="AL52" s="114"/>
      <c r="AM52" s="114"/>
      <c r="AN52" s="114"/>
      <c r="AO52" s="114"/>
      <c r="AP52" s="114"/>
      <c r="AQ52" s="114"/>
      <c r="AR52" s="114"/>
      <c r="AS52" s="114"/>
    </row>
    <row r="53" spans="1:45" x14ac:dyDescent="0.3">
      <c r="A53" s="28"/>
      <c r="B53" s="29"/>
      <c r="C53" s="29"/>
      <c r="D53" s="29"/>
      <c r="E53" s="29"/>
      <c r="F53" s="29"/>
      <c r="G53" s="29"/>
      <c r="H53" s="29"/>
      <c r="I53" s="29"/>
      <c r="J53" s="29"/>
      <c r="K53" s="29"/>
      <c r="L53" s="29"/>
      <c r="M53" s="29"/>
      <c r="N53" s="29"/>
      <c r="O53" s="29"/>
      <c r="P53" s="29"/>
      <c r="Q53" s="29"/>
      <c r="R53" s="29"/>
      <c r="S53" s="28"/>
      <c r="T53" s="29"/>
      <c r="U53" s="30"/>
      <c r="V53" s="131">
        <v>0</v>
      </c>
      <c r="W53" s="131">
        <v>0</v>
      </c>
      <c r="X53" s="124">
        <v>43265.958333333336</v>
      </c>
      <c r="Y53" s="30"/>
      <c r="Z53" s="141"/>
      <c r="AA53" s="142"/>
      <c r="AB53" s="142"/>
      <c r="AC53" s="142"/>
      <c r="AD53" s="143"/>
      <c r="AE53" s="29"/>
      <c r="AF53" s="114"/>
      <c r="AG53" s="114"/>
      <c r="AH53" s="114"/>
      <c r="AI53" s="114"/>
      <c r="AJ53" s="114"/>
      <c r="AK53" s="114"/>
      <c r="AL53" s="114"/>
      <c r="AM53" s="114"/>
      <c r="AN53" s="114"/>
      <c r="AO53" s="114"/>
      <c r="AP53" s="114"/>
      <c r="AQ53" s="114"/>
      <c r="AR53" s="114"/>
      <c r="AS53" s="114"/>
    </row>
    <row r="54" spans="1:45" ht="15" thickBot="1" x14ac:dyDescent="0.35">
      <c r="A54" s="28"/>
      <c r="B54" s="29"/>
      <c r="C54" s="29"/>
      <c r="D54" s="29"/>
      <c r="E54" s="29"/>
      <c r="F54" s="29"/>
      <c r="G54" s="29"/>
      <c r="H54" s="29"/>
      <c r="I54" s="29"/>
      <c r="J54" s="29"/>
      <c r="K54" s="29"/>
      <c r="L54" s="29"/>
      <c r="M54" s="29"/>
      <c r="N54" s="29"/>
      <c r="O54" s="29"/>
      <c r="P54" s="29"/>
      <c r="Q54" s="29"/>
      <c r="R54" s="29"/>
      <c r="S54" s="28"/>
      <c r="T54" s="29"/>
      <c r="U54" s="30"/>
      <c r="V54" s="131">
        <v>0</v>
      </c>
      <c r="W54" s="131">
        <v>0</v>
      </c>
      <c r="X54" s="125">
        <v>43266</v>
      </c>
      <c r="Y54" s="30"/>
      <c r="Z54" s="141"/>
      <c r="AA54" s="142"/>
      <c r="AB54" s="142"/>
      <c r="AC54" s="142"/>
      <c r="AD54" s="143"/>
      <c r="AE54" s="29"/>
      <c r="AF54" s="114"/>
      <c r="AG54" s="114"/>
      <c r="AH54" s="114"/>
      <c r="AI54" s="114"/>
      <c r="AJ54" s="114"/>
      <c r="AK54" s="114"/>
      <c r="AL54" s="114"/>
      <c r="AM54" s="114"/>
      <c r="AN54" s="114"/>
      <c r="AO54" s="114"/>
      <c r="AP54" s="114"/>
      <c r="AQ54" s="114"/>
      <c r="AR54" s="114"/>
      <c r="AS54" s="114"/>
    </row>
    <row r="55" spans="1:45" x14ac:dyDescent="0.3">
      <c r="A55" s="28"/>
      <c r="B55" s="29"/>
      <c r="C55" s="29"/>
      <c r="D55" s="29"/>
      <c r="E55" s="29"/>
      <c r="F55" s="29"/>
      <c r="G55" s="29"/>
      <c r="H55" s="29"/>
      <c r="I55" s="29"/>
      <c r="J55" s="29"/>
      <c r="K55" s="29"/>
      <c r="L55" s="29"/>
      <c r="M55" s="29"/>
      <c r="N55" s="29"/>
      <c r="O55" s="29"/>
      <c r="P55" s="29"/>
      <c r="Q55" s="29"/>
      <c r="R55" s="29"/>
      <c r="S55" s="28"/>
      <c r="T55" s="29"/>
      <c r="U55" s="30"/>
      <c r="V55" s="29"/>
      <c r="W55" s="29"/>
      <c r="X55" s="29"/>
      <c r="Y55" s="30"/>
      <c r="Z55" s="141"/>
      <c r="AA55" s="142"/>
      <c r="AB55" s="142"/>
      <c r="AC55" s="142"/>
      <c r="AD55" s="143"/>
      <c r="AE55" s="29"/>
      <c r="AF55" s="114"/>
      <c r="AG55" s="114"/>
      <c r="AH55" s="114"/>
      <c r="AI55" s="114"/>
      <c r="AJ55" s="114"/>
      <c r="AK55" s="114"/>
      <c r="AL55" s="114"/>
      <c r="AM55" s="114"/>
      <c r="AN55" s="114"/>
      <c r="AO55" s="114"/>
      <c r="AP55" s="114"/>
      <c r="AQ55" s="114"/>
      <c r="AR55" s="114"/>
      <c r="AS55" s="114"/>
    </row>
    <row r="56" spans="1:45" x14ac:dyDescent="0.3">
      <c r="A56" s="28"/>
      <c r="B56" s="29"/>
      <c r="C56" s="29"/>
      <c r="D56" s="29"/>
      <c r="E56" s="29"/>
      <c r="F56" s="29"/>
      <c r="G56" s="29"/>
      <c r="H56" s="29"/>
      <c r="I56" s="29"/>
      <c r="J56" s="29"/>
      <c r="K56" s="29"/>
      <c r="L56" s="29"/>
      <c r="M56" s="29"/>
      <c r="N56" s="29"/>
      <c r="O56" s="29"/>
      <c r="P56" s="29"/>
      <c r="Q56" s="29"/>
      <c r="R56" s="29"/>
      <c r="S56" s="28"/>
      <c r="T56" s="29"/>
      <c r="U56" s="30"/>
      <c r="V56" s="29"/>
      <c r="W56" s="29"/>
      <c r="X56" s="29"/>
      <c r="Y56" s="30"/>
      <c r="Z56" s="141"/>
      <c r="AA56" s="142"/>
      <c r="AB56" s="142"/>
      <c r="AC56" s="142"/>
      <c r="AD56" s="143"/>
      <c r="AE56" s="29"/>
      <c r="AF56" s="114"/>
      <c r="AG56" s="114"/>
      <c r="AH56" s="114"/>
      <c r="AI56" s="114"/>
      <c r="AJ56" s="114"/>
      <c r="AK56" s="114"/>
      <c r="AL56" s="114"/>
      <c r="AM56" s="114"/>
      <c r="AN56" s="114"/>
      <c r="AO56" s="114"/>
      <c r="AP56" s="114"/>
      <c r="AQ56" s="114"/>
      <c r="AR56" s="114"/>
      <c r="AS56" s="114"/>
    </row>
    <row r="57" spans="1:45" x14ac:dyDescent="0.3">
      <c r="A57" s="28"/>
      <c r="B57" s="29"/>
      <c r="C57" s="29"/>
      <c r="D57" s="29"/>
      <c r="E57" s="29"/>
      <c r="F57" s="29"/>
      <c r="G57" s="29"/>
      <c r="H57" s="29"/>
      <c r="I57" s="29"/>
      <c r="J57" s="29"/>
      <c r="K57" s="29"/>
      <c r="L57" s="29"/>
      <c r="M57" s="29"/>
      <c r="N57" s="29"/>
      <c r="O57" s="29"/>
      <c r="P57" s="29"/>
      <c r="Q57" s="29"/>
      <c r="R57" s="29"/>
      <c r="S57" s="28"/>
      <c r="T57" s="29"/>
      <c r="U57" s="30"/>
      <c r="V57" s="29"/>
      <c r="W57" s="29"/>
      <c r="X57" s="29"/>
      <c r="Y57" s="30"/>
      <c r="Z57" s="141"/>
      <c r="AA57" s="142"/>
      <c r="AB57" s="142"/>
      <c r="AC57" s="142"/>
      <c r="AD57" s="143"/>
      <c r="AE57" s="29"/>
      <c r="AF57" s="114"/>
      <c r="AG57" s="114"/>
      <c r="AH57" s="114"/>
      <c r="AI57" s="114"/>
      <c r="AJ57" s="114"/>
      <c r="AK57" s="114"/>
      <c r="AL57" s="114"/>
      <c r="AM57" s="114"/>
      <c r="AN57" s="114"/>
      <c r="AO57" s="114"/>
      <c r="AP57" s="114"/>
      <c r="AQ57" s="114"/>
      <c r="AR57" s="114"/>
      <c r="AS57" s="114"/>
    </row>
    <row r="58" spans="1:45" x14ac:dyDescent="0.3">
      <c r="A58" s="28"/>
      <c r="B58" s="29"/>
      <c r="C58" s="29"/>
      <c r="D58" s="29"/>
      <c r="E58" s="29"/>
      <c r="F58" s="29"/>
      <c r="G58" s="29"/>
      <c r="H58" s="29"/>
      <c r="I58" s="29"/>
      <c r="J58" s="29"/>
      <c r="K58" s="29"/>
      <c r="L58" s="29"/>
      <c r="M58" s="29"/>
      <c r="N58" s="29"/>
      <c r="O58" s="29"/>
      <c r="P58" s="29"/>
      <c r="Q58" s="29"/>
      <c r="R58" s="29"/>
      <c r="S58" s="28"/>
      <c r="T58" s="29"/>
      <c r="U58" s="30"/>
      <c r="V58" s="29"/>
      <c r="W58" s="29"/>
      <c r="X58" s="29"/>
      <c r="Y58" s="30"/>
      <c r="Z58" s="141"/>
      <c r="AA58" s="142"/>
      <c r="AB58" s="142"/>
      <c r="AC58" s="142"/>
      <c r="AD58" s="143"/>
      <c r="AE58" s="29"/>
      <c r="AF58" s="114"/>
      <c r="AG58" s="114"/>
      <c r="AH58" s="114"/>
      <c r="AI58" s="114"/>
      <c r="AJ58" s="114"/>
      <c r="AK58" s="114"/>
      <c r="AL58" s="114"/>
      <c r="AM58" s="114"/>
      <c r="AN58" s="114"/>
      <c r="AO58" s="114"/>
      <c r="AP58" s="114"/>
      <c r="AQ58" s="114"/>
      <c r="AR58" s="114"/>
      <c r="AS58" s="114"/>
    </row>
    <row r="59" spans="1:45" x14ac:dyDescent="0.3">
      <c r="A59" s="28"/>
      <c r="B59" s="29"/>
      <c r="C59" s="29"/>
      <c r="D59" s="29"/>
      <c r="E59" s="29"/>
      <c r="F59" s="29"/>
      <c r="G59" s="29"/>
      <c r="H59" s="29"/>
      <c r="I59" s="29"/>
      <c r="J59" s="29"/>
      <c r="K59" s="29"/>
      <c r="L59" s="29"/>
      <c r="M59" s="29"/>
      <c r="N59" s="29"/>
      <c r="O59" s="29"/>
      <c r="P59" s="29"/>
      <c r="Q59" s="29"/>
      <c r="R59" s="29"/>
      <c r="S59" s="28"/>
      <c r="T59" s="29"/>
      <c r="U59" s="30"/>
      <c r="V59" s="29"/>
      <c r="W59" s="29"/>
      <c r="X59" s="29"/>
      <c r="Y59" s="30"/>
      <c r="Z59" s="141"/>
      <c r="AA59" s="142"/>
      <c r="AB59" s="142"/>
      <c r="AC59" s="142"/>
      <c r="AD59" s="143"/>
      <c r="AE59" s="29"/>
      <c r="AF59" s="114"/>
      <c r="AG59" s="114"/>
      <c r="AH59" s="114"/>
      <c r="AI59" s="114"/>
      <c r="AJ59" s="114"/>
      <c r="AK59" s="114"/>
      <c r="AL59" s="114"/>
      <c r="AM59" s="114"/>
      <c r="AN59" s="114"/>
      <c r="AO59" s="114"/>
      <c r="AP59" s="114"/>
      <c r="AQ59" s="114"/>
      <c r="AR59" s="114"/>
      <c r="AS59" s="114"/>
    </row>
    <row r="60" spans="1:45" x14ac:dyDescent="0.3">
      <c r="A60" s="28"/>
      <c r="B60" s="29"/>
      <c r="C60" s="29"/>
      <c r="D60" s="29"/>
      <c r="E60" s="29"/>
      <c r="F60" s="29"/>
      <c r="G60" s="29"/>
      <c r="H60" s="29"/>
      <c r="I60" s="29"/>
      <c r="J60" s="29"/>
      <c r="K60" s="29"/>
      <c r="L60" s="29"/>
      <c r="M60" s="29"/>
      <c r="N60" s="29"/>
      <c r="O60" s="29"/>
      <c r="P60" s="29"/>
      <c r="Q60" s="29"/>
      <c r="R60" s="29"/>
      <c r="S60" s="28"/>
      <c r="T60" s="29"/>
      <c r="U60" s="30"/>
      <c r="V60" s="29"/>
      <c r="W60" s="29"/>
      <c r="X60" s="29"/>
      <c r="Y60" s="30"/>
      <c r="Z60" s="141"/>
      <c r="AA60" s="142"/>
      <c r="AB60" s="142"/>
      <c r="AC60" s="142"/>
      <c r="AD60" s="143"/>
      <c r="AE60" s="29"/>
      <c r="AF60" s="114"/>
      <c r="AG60" s="114"/>
      <c r="AH60" s="114"/>
      <c r="AI60" s="114"/>
      <c r="AJ60" s="114"/>
      <c r="AK60" s="114"/>
      <c r="AL60" s="114"/>
      <c r="AM60" s="114"/>
      <c r="AN60" s="114"/>
      <c r="AO60" s="114"/>
      <c r="AP60" s="114"/>
      <c r="AQ60" s="114"/>
      <c r="AR60" s="114"/>
      <c r="AS60" s="114"/>
    </row>
    <row r="61" spans="1:45" x14ac:dyDescent="0.3">
      <c r="A61" s="28"/>
      <c r="B61" s="29"/>
      <c r="C61" s="29"/>
      <c r="D61" s="29"/>
      <c r="E61" s="29"/>
      <c r="F61" s="29"/>
      <c r="G61" s="29"/>
      <c r="H61" s="29"/>
      <c r="I61" s="29"/>
      <c r="J61" s="29"/>
      <c r="K61" s="29"/>
      <c r="L61" s="29"/>
      <c r="M61" s="29"/>
      <c r="N61" s="29"/>
      <c r="O61" s="29"/>
      <c r="P61" s="29"/>
      <c r="Q61" s="29"/>
      <c r="R61" s="29"/>
      <c r="S61" s="28"/>
      <c r="T61" s="29"/>
      <c r="U61" s="30"/>
      <c r="V61" s="29"/>
      <c r="W61" s="29"/>
      <c r="X61" s="29"/>
      <c r="Y61" s="30"/>
      <c r="Z61" s="141"/>
      <c r="AA61" s="142"/>
      <c r="AB61" s="142"/>
      <c r="AC61" s="142"/>
      <c r="AD61" s="143"/>
      <c r="AE61" s="29"/>
      <c r="AF61" s="114"/>
      <c r="AG61" s="114"/>
      <c r="AH61" s="114"/>
      <c r="AI61" s="114"/>
      <c r="AJ61" s="114"/>
      <c r="AK61" s="114"/>
      <c r="AL61" s="114"/>
      <c r="AM61" s="114"/>
      <c r="AN61" s="114"/>
      <c r="AO61" s="114"/>
      <c r="AP61" s="114"/>
      <c r="AQ61" s="114"/>
      <c r="AR61" s="114"/>
      <c r="AS61" s="114"/>
    </row>
    <row r="62" spans="1:45" x14ac:dyDescent="0.3">
      <c r="A62" s="28"/>
      <c r="B62" s="29"/>
      <c r="C62" s="29"/>
      <c r="D62" s="29"/>
      <c r="E62" s="29"/>
      <c r="F62" s="29"/>
      <c r="G62" s="29"/>
      <c r="H62" s="29"/>
      <c r="I62" s="29"/>
      <c r="J62" s="29"/>
      <c r="K62" s="29"/>
      <c r="L62" s="29"/>
      <c r="M62" s="29"/>
      <c r="N62" s="29"/>
      <c r="O62" s="29"/>
      <c r="P62" s="29"/>
      <c r="Q62" s="29"/>
      <c r="R62" s="29"/>
      <c r="S62" s="28"/>
      <c r="T62" s="29"/>
      <c r="U62" s="30"/>
      <c r="V62" s="29"/>
      <c r="W62" s="29"/>
      <c r="X62" s="29"/>
      <c r="Y62" s="30"/>
      <c r="Z62" s="141"/>
      <c r="AA62" s="142"/>
      <c r="AB62" s="142"/>
      <c r="AC62" s="142"/>
      <c r="AD62" s="143"/>
      <c r="AE62" s="29"/>
      <c r="AF62" s="114"/>
      <c r="AG62" s="114"/>
      <c r="AH62" s="114"/>
      <c r="AI62" s="114"/>
      <c r="AJ62" s="114"/>
      <c r="AK62" s="114"/>
      <c r="AL62" s="114"/>
      <c r="AM62" s="114"/>
      <c r="AN62" s="114"/>
      <c r="AO62" s="114"/>
      <c r="AP62" s="114"/>
      <c r="AQ62" s="114"/>
      <c r="AR62" s="114"/>
      <c r="AS62" s="114"/>
    </row>
    <row r="63" spans="1:45" x14ac:dyDescent="0.3">
      <c r="A63" s="28"/>
      <c r="B63" s="29"/>
      <c r="C63" s="29"/>
      <c r="D63" s="29"/>
      <c r="E63" s="29"/>
      <c r="F63" s="29"/>
      <c r="G63" s="29"/>
      <c r="H63" s="29"/>
      <c r="I63" s="29"/>
      <c r="J63" s="29"/>
      <c r="K63" s="29"/>
      <c r="L63" s="29"/>
      <c r="M63" s="29"/>
      <c r="N63" s="29"/>
      <c r="O63" s="29"/>
      <c r="P63" s="29"/>
      <c r="Q63" s="29"/>
      <c r="R63" s="29"/>
      <c r="S63" s="28"/>
      <c r="T63" s="29"/>
      <c r="U63" s="30"/>
      <c r="V63" s="29"/>
      <c r="W63" s="29"/>
      <c r="X63" s="29"/>
      <c r="Y63" s="30"/>
      <c r="Z63" s="141"/>
      <c r="AA63" s="142"/>
      <c r="AB63" s="142"/>
      <c r="AC63" s="142"/>
      <c r="AD63" s="143"/>
      <c r="AE63" s="29"/>
      <c r="AF63" s="114"/>
      <c r="AG63" s="114"/>
      <c r="AH63" s="114"/>
      <c r="AI63" s="114"/>
      <c r="AJ63" s="114"/>
      <c r="AK63" s="114"/>
      <c r="AL63" s="114"/>
      <c r="AM63" s="114"/>
      <c r="AN63" s="114"/>
      <c r="AO63" s="114"/>
      <c r="AP63" s="114"/>
      <c r="AQ63" s="114"/>
      <c r="AR63" s="114"/>
      <c r="AS63" s="114"/>
    </row>
    <row r="64" spans="1:45" x14ac:dyDescent="0.3">
      <c r="A64" s="28"/>
      <c r="B64" s="29"/>
      <c r="C64" s="29"/>
      <c r="D64" s="29"/>
      <c r="E64" s="29"/>
      <c r="F64" s="29"/>
      <c r="G64" s="29"/>
      <c r="H64" s="29"/>
      <c r="I64" s="29"/>
      <c r="J64" s="29"/>
      <c r="K64" s="29"/>
      <c r="L64" s="29"/>
      <c r="M64" s="29"/>
      <c r="N64" s="29"/>
      <c r="O64" s="29"/>
      <c r="P64" s="29"/>
      <c r="Q64" s="29"/>
      <c r="R64" s="29"/>
      <c r="S64" s="28"/>
      <c r="T64" s="29"/>
      <c r="U64" s="30"/>
      <c r="V64" s="29"/>
      <c r="W64" s="29"/>
      <c r="X64" s="29"/>
      <c r="Y64" s="30"/>
      <c r="Z64" s="141"/>
      <c r="AA64" s="142"/>
      <c r="AB64" s="142"/>
      <c r="AC64" s="142"/>
      <c r="AD64" s="143"/>
      <c r="AE64" s="29"/>
      <c r="AF64" s="114"/>
      <c r="AG64" s="114"/>
      <c r="AH64" s="114"/>
      <c r="AI64" s="114"/>
      <c r="AJ64" s="114"/>
      <c r="AK64" s="114"/>
      <c r="AL64" s="114"/>
      <c r="AM64" s="114"/>
      <c r="AN64" s="114"/>
      <c r="AO64" s="114"/>
      <c r="AP64" s="114"/>
      <c r="AQ64" s="114"/>
      <c r="AR64" s="114"/>
      <c r="AS64" s="114"/>
    </row>
    <row r="65" spans="1:45" x14ac:dyDescent="0.3">
      <c r="A65" s="28"/>
      <c r="B65" s="29"/>
      <c r="C65" s="29"/>
      <c r="D65" s="29"/>
      <c r="E65" s="29"/>
      <c r="F65" s="29"/>
      <c r="G65" s="29"/>
      <c r="H65" s="29"/>
      <c r="I65" s="29"/>
      <c r="J65" s="29"/>
      <c r="K65" s="29"/>
      <c r="L65" s="29"/>
      <c r="M65" s="29"/>
      <c r="N65" s="29"/>
      <c r="O65" s="29"/>
      <c r="P65" s="29"/>
      <c r="Q65" s="29"/>
      <c r="R65" s="29"/>
      <c r="S65" s="28"/>
      <c r="T65" s="29"/>
      <c r="U65" s="30"/>
      <c r="V65" s="29"/>
      <c r="W65" s="29"/>
      <c r="X65" s="29"/>
      <c r="Y65" s="30"/>
      <c r="Z65" s="141"/>
      <c r="AA65" s="142"/>
      <c r="AB65" s="142"/>
      <c r="AC65" s="142"/>
      <c r="AD65" s="143"/>
      <c r="AE65" s="29"/>
      <c r="AF65" s="114"/>
      <c r="AG65" s="114"/>
      <c r="AH65" s="114"/>
      <c r="AI65" s="114"/>
      <c r="AJ65" s="114"/>
      <c r="AK65" s="114"/>
      <c r="AL65" s="114"/>
      <c r="AM65" s="114"/>
      <c r="AN65" s="114"/>
      <c r="AO65" s="114"/>
      <c r="AP65" s="114"/>
      <c r="AQ65" s="114"/>
      <c r="AR65" s="114"/>
      <c r="AS65" s="114"/>
    </row>
    <row r="66" spans="1:45" x14ac:dyDescent="0.3">
      <c r="A66" s="28"/>
      <c r="B66" s="29"/>
      <c r="C66" s="29"/>
      <c r="D66" s="29"/>
      <c r="E66" s="29"/>
      <c r="F66" s="29"/>
      <c r="G66" s="29"/>
      <c r="H66" s="29"/>
      <c r="I66" s="29"/>
      <c r="J66" s="29"/>
      <c r="K66" s="29"/>
      <c r="L66" s="29"/>
      <c r="M66" s="29"/>
      <c r="N66" s="29"/>
      <c r="O66" s="29"/>
      <c r="P66" s="29"/>
      <c r="Q66" s="29"/>
      <c r="R66" s="29"/>
      <c r="S66" s="28"/>
      <c r="T66" s="29"/>
      <c r="U66" s="30"/>
      <c r="V66" s="29"/>
      <c r="W66" s="29"/>
      <c r="X66" s="29"/>
      <c r="Y66" s="30"/>
      <c r="Z66" s="141"/>
      <c r="AA66" s="142"/>
      <c r="AB66" s="142"/>
      <c r="AC66" s="142"/>
      <c r="AD66" s="143"/>
      <c r="AE66" s="29"/>
      <c r="AF66" s="114"/>
      <c r="AG66" s="114"/>
      <c r="AH66" s="114"/>
      <c r="AI66" s="114"/>
      <c r="AJ66" s="114"/>
      <c r="AK66" s="114"/>
      <c r="AL66" s="114"/>
      <c r="AM66" s="114"/>
      <c r="AN66" s="114"/>
      <c r="AO66" s="114"/>
      <c r="AP66" s="114"/>
      <c r="AQ66" s="114"/>
      <c r="AR66" s="114"/>
      <c r="AS66" s="114"/>
    </row>
    <row r="67" spans="1:45" x14ac:dyDescent="0.3">
      <c r="A67" s="28"/>
      <c r="B67" s="29"/>
      <c r="C67" s="29"/>
      <c r="D67" s="29"/>
      <c r="E67" s="29"/>
      <c r="F67" s="29"/>
      <c r="G67" s="29"/>
      <c r="H67" s="29"/>
      <c r="I67" s="29"/>
      <c r="J67" s="29"/>
      <c r="K67" s="29"/>
      <c r="L67" s="29"/>
      <c r="M67" s="29"/>
      <c r="N67" s="29"/>
      <c r="O67" s="29"/>
      <c r="P67" s="29"/>
      <c r="Q67" s="29"/>
      <c r="R67" s="29"/>
      <c r="S67" s="28"/>
      <c r="T67" s="29"/>
      <c r="U67" s="30"/>
      <c r="V67" s="29"/>
      <c r="W67" s="29"/>
      <c r="X67" s="29"/>
      <c r="Y67" s="30"/>
      <c r="Z67" s="141"/>
      <c r="AA67" s="142"/>
      <c r="AB67" s="142"/>
      <c r="AC67" s="142"/>
      <c r="AD67" s="143"/>
      <c r="AE67" s="29"/>
      <c r="AF67" s="114"/>
      <c r="AG67" s="114"/>
      <c r="AH67" s="114"/>
      <c r="AI67" s="114"/>
      <c r="AJ67" s="114"/>
      <c r="AK67" s="114"/>
      <c r="AL67" s="114"/>
      <c r="AM67" s="114"/>
      <c r="AN67" s="114"/>
      <c r="AO67" s="114"/>
      <c r="AP67" s="114"/>
      <c r="AQ67" s="114"/>
      <c r="AR67" s="114"/>
      <c r="AS67" s="114"/>
    </row>
    <row r="68" spans="1:45" x14ac:dyDescent="0.3">
      <c r="A68" s="28"/>
      <c r="B68" s="29"/>
      <c r="C68" s="29"/>
      <c r="D68" s="29"/>
      <c r="E68" s="29"/>
      <c r="F68" s="29"/>
      <c r="G68" s="29"/>
      <c r="H68" s="29"/>
      <c r="I68" s="29"/>
      <c r="J68" s="29"/>
      <c r="K68" s="29"/>
      <c r="L68" s="29"/>
      <c r="M68" s="29"/>
      <c r="N68" s="29"/>
      <c r="O68" s="29"/>
      <c r="P68" s="29"/>
      <c r="Q68" s="29"/>
      <c r="R68" s="29"/>
      <c r="S68" s="28"/>
      <c r="T68" s="29"/>
      <c r="U68" s="30"/>
      <c r="V68" s="29"/>
      <c r="W68" s="29"/>
      <c r="X68" s="29"/>
      <c r="Y68" s="30"/>
      <c r="Z68" s="141"/>
      <c r="AA68" s="142"/>
      <c r="AB68" s="142"/>
      <c r="AC68" s="142"/>
      <c r="AD68" s="143"/>
      <c r="AE68" s="29"/>
      <c r="AF68" s="114"/>
      <c r="AG68" s="114"/>
      <c r="AH68" s="114"/>
      <c r="AI68" s="114"/>
      <c r="AJ68" s="114"/>
      <c r="AK68" s="114"/>
      <c r="AL68" s="114"/>
      <c r="AM68" s="114"/>
      <c r="AN68" s="114"/>
      <c r="AO68" s="114"/>
      <c r="AP68" s="114"/>
      <c r="AQ68" s="114"/>
      <c r="AR68" s="114"/>
      <c r="AS68" s="114"/>
    </row>
    <row r="69" spans="1:45" x14ac:dyDescent="0.3">
      <c r="A69" s="28"/>
      <c r="B69" s="29"/>
      <c r="C69" s="29"/>
      <c r="D69" s="29"/>
      <c r="E69" s="29"/>
      <c r="F69" s="29"/>
      <c r="G69" s="29"/>
      <c r="H69" s="29"/>
      <c r="I69" s="29"/>
      <c r="J69" s="29"/>
      <c r="K69" s="29"/>
      <c r="L69" s="29"/>
      <c r="M69" s="29"/>
      <c r="N69" s="29"/>
      <c r="O69" s="29"/>
      <c r="P69" s="29"/>
      <c r="Q69" s="29"/>
      <c r="R69" s="29"/>
      <c r="S69" s="28"/>
      <c r="T69" s="29"/>
      <c r="U69" s="30"/>
      <c r="V69" s="29"/>
      <c r="W69" s="29"/>
      <c r="X69" s="29"/>
      <c r="Y69" s="30"/>
      <c r="Z69" s="141"/>
      <c r="AA69" s="142"/>
      <c r="AB69" s="142"/>
      <c r="AC69" s="142"/>
      <c r="AD69" s="143"/>
      <c r="AE69" s="29"/>
      <c r="AF69" s="114"/>
      <c r="AG69" s="114"/>
      <c r="AH69" s="114"/>
      <c r="AI69" s="114"/>
      <c r="AJ69" s="114"/>
      <c r="AK69" s="114"/>
      <c r="AL69" s="114"/>
      <c r="AM69" s="114"/>
      <c r="AN69" s="114"/>
      <c r="AO69" s="114"/>
      <c r="AP69" s="114"/>
      <c r="AQ69" s="114"/>
      <c r="AR69" s="114"/>
      <c r="AS69" s="114"/>
    </row>
    <row r="70" spans="1:45" ht="15" thickBot="1" x14ac:dyDescent="0.35">
      <c r="A70" s="31"/>
      <c r="B70" s="32"/>
      <c r="C70" s="32"/>
      <c r="D70" s="32"/>
      <c r="E70" s="32"/>
      <c r="F70" s="32"/>
      <c r="G70" s="32"/>
      <c r="H70" s="32"/>
      <c r="I70" s="32"/>
      <c r="J70" s="32"/>
      <c r="K70" s="32"/>
      <c r="L70" s="32"/>
      <c r="M70" s="32"/>
      <c r="N70" s="32"/>
      <c r="O70" s="32"/>
      <c r="P70" s="32"/>
      <c r="Q70" s="32"/>
      <c r="R70" s="32"/>
      <c r="S70" s="31"/>
      <c r="T70" s="32"/>
      <c r="U70" s="33"/>
      <c r="V70" s="29"/>
      <c r="W70" s="29"/>
      <c r="X70" s="29"/>
      <c r="Y70" s="30"/>
      <c r="Z70" s="141"/>
      <c r="AA70" s="142"/>
      <c r="AB70" s="142"/>
      <c r="AC70" s="142"/>
      <c r="AD70" s="143"/>
      <c r="AE70" s="29"/>
      <c r="AF70" s="114"/>
      <c r="AG70" s="114"/>
      <c r="AH70" s="114"/>
      <c r="AI70" s="114"/>
      <c r="AJ70" s="114"/>
      <c r="AK70" s="114"/>
      <c r="AL70" s="114"/>
      <c r="AM70" s="114"/>
      <c r="AN70" s="114"/>
      <c r="AO70" s="114"/>
      <c r="AP70" s="114"/>
      <c r="AQ70" s="114"/>
      <c r="AR70" s="114"/>
      <c r="AS70" s="114"/>
    </row>
    <row r="71" spans="1:45" x14ac:dyDescent="0.3">
      <c r="L71" s="13"/>
      <c r="M71" s="13"/>
      <c r="Y71" s="30"/>
      <c r="Z71" s="141"/>
      <c r="AA71" s="142"/>
      <c r="AB71" s="142"/>
      <c r="AC71" s="142"/>
      <c r="AD71" s="143"/>
      <c r="AE71" s="29"/>
      <c r="AF71" s="114"/>
      <c r="AG71" s="114"/>
      <c r="AH71" s="114"/>
      <c r="AI71" s="114"/>
      <c r="AJ71" s="114"/>
      <c r="AK71" s="114"/>
      <c r="AL71" s="114"/>
      <c r="AM71" s="114"/>
      <c r="AN71" s="114"/>
      <c r="AO71" s="114"/>
      <c r="AP71" s="114"/>
      <c r="AQ71" s="114"/>
      <c r="AR71" s="114"/>
      <c r="AS71" s="114"/>
    </row>
    <row r="72" spans="1:45" x14ac:dyDescent="0.3">
      <c r="L72" s="13"/>
      <c r="M72" s="13"/>
      <c r="Y72" s="30"/>
      <c r="Z72" s="141"/>
      <c r="AA72" s="142"/>
      <c r="AB72" s="142"/>
      <c r="AC72" s="142"/>
      <c r="AD72" s="143"/>
      <c r="AE72" s="29"/>
      <c r="AF72" s="114"/>
      <c r="AG72" s="114"/>
      <c r="AH72" s="114"/>
      <c r="AI72" s="114"/>
      <c r="AJ72" s="114"/>
      <c r="AK72" s="114"/>
      <c r="AL72" s="114"/>
      <c r="AM72" s="114"/>
      <c r="AN72" s="114"/>
      <c r="AO72" s="114"/>
      <c r="AP72" s="114"/>
      <c r="AQ72" s="114"/>
      <c r="AR72" s="114"/>
      <c r="AS72" s="114"/>
    </row>
    <row r="73" spans="1:45" ht="15" thickBot="1" x14ac:dyDescent="0.35">
      <c r="L73" s="13"/>
      <c r="M73" s="13"/>
      <c r="Y73" s="30"/>
      <c r="Z73" s="144"/>
      <c r="AA73" s="145"/>
      <c r="AB73" s="145"/>
      <c r="AC73" s="145"/>
      <c r="AD73" s="146"/>
      <c r="AE73" s="29"/>
      <c r="AF73" s="114"/>
      <c r="AG73" s="114"/>
      <c r="AH73" s="114"/>
      <c r="AI73" s="114"/>
      <c r="AJ73" s="114"/>
      <c r="AK73" s="114"/>
      <c r="AL73" s="114"/>
      <c r="AM73" s="114"/>
      <c r="AN73" s="114"/>
      <c r="AO73" s="114"/>
      <c r="AP73" s="114"/>
      <c r="AQ73" s="114"/>
      <c r="AR73" s="114"/>
      <c r="AS73" s="114"/>
    </row>
    <row r="74" spans="1:45" x14ac:dyDescent="0.3">
      <c r="L74" s="13"/>
      <c r="M74" s="13"/>
      <c r="Y74" s="29"/>
      <c r="Z74" s="29"/>
      <c r="AA74" s="29"/>
      <c r="AB74" s="29"/>
      <c r="AC74" s="29"/>
      <c r="AD74" s="29"/>
      <c r="AE74" s="29"/>
      <c r="AF74" s="114"/>
      <c r="AG74" s="114"/>
      <c r="AH74" s="114"/>
      <c r="AI74" s="114"/>
      <c r="AJ74" s="114"/>
      <c r="AK74" s="114"/>
      <c r="AL74" s="114"/>
      <c r="AM74" s="114"/>
      <c r="AN74" s="114"/>
      <c r="AO74" s="114"/>
      <c r="AP74" s="114"/>
      <c r="AQ74" s="114"/>
      <c r="AR74" s="114"/>
      <c r="AS74" s="114"/>
    </row>
    <row r="75" spans="1:45" x14ac:dyDescent="0.3">
      <c r="L75" s="13"/>
      <c r="M75" s="13"/>
      <c r="U75" t="s">
        <v>98</v>
      </c>
      <c r="Y75" s="29"/>
      <c r="Z75" s="29"/>
      <c r="AA75" s="29"/>
      <c r="AB75" s="29"/>
      <c r="AC75" s="29"/>
      <c r="AD75" s="29"/>
      <c r="AE75" s="29"/>
      <c r="AF75" s="114"/>
      <c r="AG75" s="114"/>
      <c r="AH75" s="114"/>
      <c r="AI75" s="114"/>
      <c r="AJ75" s="114"/>
      <c r="AK75" s="114"/>
      <c r="AL75" s="114"/>
      <c r="AM75" s="114"/>
      <c r="AN75" s="114"/>
      <c r="AO75" s="114"/>
      <c r="AP75" s="114"/>
      <c r="AQ75" s="114"/>
      <c r="AR75" s="114"/>
      <c r="AS75" s="114"/>
    </row>
    <row r="76" spans="1:45" ht="15.6" x14ac:dyDescent="0.3">
      <c r="L76" s="13"/>
      <c r="M76" s="13"/>
      <c r="Y76" s="61"/>
      <c r="AE76" s="114"/>
      <c r="AF76" s="114"/>
      <c r="AG76" s="114"/>
      <c r="AH76" s="114"/>
      <c r="AI76" s="114"/>
      <c r="AJ76" s="114"/>
      <c r="AK76" s="114"/>
      <c r="AL76" s="114"/>
      <c r="AM76" s="114"/>
      <c r="AN76" s="114"/>
      <c r="AO76" s="114"/>
      <c r="AP76" s="114"/>
      <c r="AQ76" s="114"/>
      <c r="AR76" s="114"/>
      <c r="AS76" s="114"/>
    </row>
    <row r="77" spans="1:45" ht="15.6" x14ac:dyDescent="0.3">
      <c r="L77" s="13"/>
      <c r="M77" s="13"/>
      <c r="Y77" s="61"/>
      <c r="AE77" s="114"/>
      <c r="AF77" s="114"/>
      <c r="AG77" s="114"/>
      <c r="AH77" s="114"/>
      <c r="AI77" s="114"/>
      <c r="AJ77" s="114"/>
      <c r="AK77" s="114"/>
      <c r="AL77" s="114"/>
      <c r="AM77" s="114"/>
      <c r="AN77" s="114"/>
      <c r="AO77" s="114"/>
      <c r="AP77" s="114"/>
      <c r="AQ77" s="114"/>
      <c r="AR77" s="114"/>
      <c r="AS77" s="114"/>
    </row>
    <row r="78" spans="1:45" ht="15.6" x14ac:dyDescent="0.3">
      <c r="L78" s="13"/>
      <c r="M78" s="13"/>
      <c r="Y78" s="61"/>
      <c r="AE78" s="114"/>
      <c r="AF78" s="114"/>
      <c r="AG78" s="114"/>
      <c r="AH78" s="114"/>
      <c r="AI78" s="114"/>
      <c r="AJ78" s="114"/>
      <c r="AK78" s="114"/>
      <c r="AL78" s="114"/>
      <c r="AM78" s="114"/>
      <c r="AN78" s="114"/>
      <c r="AO78" s="114"/>
      <c r="AP78" s="114"/>
      <c r="AQ78" s="114"/>
      <c r="AR78" s="114"/>
      <c r="AS78" s="114"/>
    </row>
    <row r="79" spans="1:45" ht="15.6" x14ac:dyDescent="0.3">
      <c r="L79" s="13"/>
      <c r="M79" s="13"/>
      <c r="Y79" s="61"/>
      <c r="AE79" s="114"/>
      <c r="AF79" s="114"/>
      <c r="AG79" s="114"/>
      <c r="AH79" s="114"/>
      <c r="AI79" s="114"/>
      <c r="AJ79" s="114"/>
      <c r="AK79" s="114"/>
      <c r="AL79" s="114"/>
      <c r="AM79" s="114"/>
      <c r="AN79" s="114"/>
      <c r="AO79" s="114"/>
      <c r="AP79" s="114"/>
      <c r="AQ79" s="114"/>
      <c r="AR79" s="114"/>
      <c r="AS79" s="114"/>
    </row>
    <row r="80" spans="1:45" ht="15.6" x14ac:dyDescent="0.3">
      <c r="L80" s="13"/>
      <c r="M80" s="13"/>
      <c r="Y80" s="61"/>
      <c r="AE80" s="114"/>
      <c r="AF80" s="114"/>
      <c r="AG80" s="114"/>
      <c r="AH80" s="114"/>
      <c r="AI80" s="114"/>
      <c r="AJ80" s="114"/>
      <c r="AK80" s="114"/>
      <c r="AL80" s="114"/>
      <c r="AM80" s="114"/>
      <c r="AN80" s="114"/>
      <c r="AO80" s="114"/>
      <c r="AP80" s="114"/>
      <c r="AQ80" s="114"/>
      <c r="AR80" s="114"/>
      <c r="AS80" s="114"/>
    </row>
    <row r="81" spans="12:45" ht="15.6" x14ac:dyDescent="0.3">
      <c r="L81" s="13"/>
      <c r="M81" s="13"/>
      <c r="Y81" s="61"/>
      <c r="Z81" s="74"/>
      <c r="AA81" s="74"/>
      <c r="AB81" s="74"/>
      <c r="AE81" s="114"/>
      <c r="AF81" s="114"/>
      <c r="AG81" s="114"/>
      <c r="AH81" s="114"/>
      <c r="AI81" s="114"/>
      <c r="AJ81" s="114"/>
      <c r="AK81" s="114"/>
      <c r="AL81" s="114"/>
      <c r="AM81" s="114"/>
      <c r="AN81" s="114"/>
      <c r="AO81" s="114"/>
      <c r="AP81" s="114"/>
      <c r="AQ81" s="114"/>
      <c r="AR81" s="114"/>
      <c r="AS81" s="114"/>
    </row>
    <row r="82" spans="12:45" ht="15.6" x14ac:dyDescent="0.3">
      <c r="L82" s="13"/>
      <c r="M82" s="13"/>
      <c r="Y82" s="61"/>
      <c r="Z82" s="62"/>
      <c r="AA82" s="74"/>
      <c r="AB82" s="60"/>
      <c r="AE82" s="114"/>
      <c r="AF82" s="114"/>
      <c r="AG82" s="114"/>
      <c r="AH82" s="114"/>
      <c r="AI82" s="114"/>
      <c r="AJ82" s="114"/>
      <c r="AK82" s="114"/>
      <c r="AL82" s="114"/>
      <c r="AM82" s="114"/>
      <c r="AN82" s="114"/>
      <c r="AO82" s="114"/>
      <c r="AP82" s="114"/>
      <c r="AQ82" s="114"/>
      <c r="AR82" s="114"/>
      <c r="AS82" s="114"/>
    </row>
    <row r="83" spans="12:45" ht="15.6" x14ac:dyDescent="0.3">
      <c r="L83" s="13"/>
      <c r="M83" s="13"/>
      <c r="Y83" s="61"/>
      <c r="Z83" s="62"/>
      <c r="AA83" s="74"/>
      <c r="AB83" s="60"/>
      <c r="AE83" s="114"/>
      <c r="AF83" s="114"/>
      <c r="AG83" s="114"/>
      <c r="AH83" s="114"/>
      <c r="AI83" s="114"/>
      <c r="AJ83" s="114"/>
      <c r="AK83" s="114"/>
      <c r="AL83" s="114"/>
      <c r="AM83" s="114"/>
      <c r="AN83" s="114"/>
      <c r="AO83" s="114"/>
      <c r="AP83" s="114"/>
      <c r="AQ83" s="114"/>
      <c r="AR83" s="114"/>
      <c r="AS83" s="114"/>
    </row>
    <row r="84" spans="12:45" ht="15.6" x14ac:dyDescent="0.3">
      <c r="L84" s="13"/>
      <c r="M84" s="13"/>
      <c r="Y84" s="61"/>
      <c r="Z84" s="62"/>
      <c r="AA84" s="74"/>
      <c r="AB84" s="60"/>
      <c r="AE84" s="114"/>
      <c r="AF84" s="114"/>
      <c r="AG84" s="114"/>
      <c r="AH84" s="114"/>
      <c r="AI84" s="114"/>
      <c r="AJ84" s="114"/>
      <c r="AK84" s="114"/>
      <c r="AL84" s="114"/>
      <c r="AM84" s="114"/>
      <c r="AN84" s="114"/>
      <c r="AO84" s="114"/>
      <c r="AP84" s="114"/>
      <c r="AQ84" s="114"/>
      <c r="AR84" s="114"/>
      <c r="AS84" s="114"/>
    </row>
    <row r="85" spans="12:45" ht="15.6" x14ac:dyDescent="0.3">
      <c r="L85" s="13"/>
      <c r="M85" s="13"/>
      <c r="Y85" s="61"/>
      <c r="Z85" s="62"/>
      <c r="AA85" s="74"/>
      <c r="AB85" s="60"/>
      <c r="AE85" s="114"/>
      <c r="AF85" s="114"/>
      <c r="AG85" s="114"/>
      <c r="AH85" s="114"/>
      <c r="AI85" s="114"/>
      <c r="AJ85" s="114"/>
      <c r="AK85" s="114"/>
      <c r="AL85" s="114"/>
      <c r="AM85" s="114"/>
      <c r="AN85" s="114"/>
      <c r="AO85" s="114"/>
      <c r="AP85" s="114"/>
      <c r="AQ85" s="114"/>
      <c r="AR85" s="114"/>
      <c r="AS85" s="114"/>
    </row>
    <row r="86" spans="12:45" ht="15.6" x14ac:dyDescent="0.3">
      <c r="L86" s="13"/>
      <c r="M86" s="13"/>
      <c r="Y86" s="61"/>
      <c r="Z86" s="62"/>
      <c r="AA86" s="74"/>
      <c r="AB86" s="60"/>
      <c r="AE86" s="114"/>
      <c r="AF86" s="114"/>
      <c r="AG86" s="114"/>
      <c r="AH86" s="114"/>
      <c r="AI86" s="114"/>
      <c r="AJ86" s="114"/>
      <c r="AK86" s="114"/>
      <c r="AL86" s="114"/>
      <c r="AM86" s="114"/>
      <c r="AN86" s="114"/>
      <c r="AO86" s="114"/>
      <c r="AP86" s="114"/>
      <c r="AQ86" s="114"/>
      <c r="AR86" s="114"/>
      <c r="AS86" s="114"/>
    </row>
    <row r="87" spans="12:45" ht="15.6" x14ac:dyDescent="0.3">
      <c r="L87" s="13"/>
      <c r="M87" s="13"/>
      <c r="Y87" s="61"/>
      <c r="Z87" s="62"/>
      <c r="AA87" s="74"/>
      <c r="AB87" s="60"/>
      <c r="AE87" s="114"/>
      <c r="AF87" s="114"/>
      <c r="AG87" s="114"/>
      <c r="AH87" s="114"/>
      <c r="AI87" s="114"/>
      <c r="AJ87" s="114"/>
      <c r="AK87" s="114"/>
      <c r="AL87" s="114"/>
      <c r="AM87" s="114"/>
      <c r="AN87" s="114"/>
      <c r="AO87" s="114"/>
      <c r="AP87" s="114"/>
      <c r="AQ87" s="114"/>
      <c r="AR87" s="114"/>
      <c r="AS87" s="114"/>
    </row>
    <row r="88" spans="12:45" ht="15.6" x14ac:dyDescent="0.3">
      <c r="L88" s="13"/>
      <c r="M88" s="13"/>
      <c r="Y88" s="61"/>
      <c r="Z88" s="62"/>
      <c r="AA88" s="74"/>
      <c r="AB88" s="60"/>
      <c r="AE88" s="114"/>
      <c r="AF88" s="114"/>
      <c r="AG88" s="114"/>
      <c r="AH88" s="114"/>
      <c r="AI88" s="114"/>
      <c r="AJ88" s="114"/>
      <c r="AK88" s="114"/>
      <c r="AL88" s="114"/>
      <c r="AM88" s="114"/>
      <c r="AN88" s="114"/>
      <c r="AO88" s="114"/>
      <c r="AP88" s="114"/>
      <c r="AQ88" s="114"/>
      <c r="AR88" s="114"/>
      <c r="AS88" s="114"/>
    </row>
    <row r="89" spans="12:45" ht="15.6" x14ac:dyDescent="0.3">
      <c r="L89" s="13"/>
      <c r="M89" s="13"/>
      <c r="Y89" s="61"/>
      <c r="Z89" s="62"/>
      <c r="AA89" s="74"/>
      <c r="AB89" s="60"/>
      <c r="AE89" s="114"/>
      <c r="AF89" s="114"/>
      <c r="AG89" s="114"/>
      <c r="AH89" s="114"/>
      <c r="AI89" s="114"/>
      <c r="AJ89" s="114"/>
      <c r="AK89" s="114"/>
      <c r="AL89" s="114"/>
      <c r="AM89" s="114"/>
      <c r="AN89" s="114"/>
      <c r="AO89" s="114"/>
      <c r="AP89" s="114"/>
      <c r="AQ89" s="114"/>
      <c r="AR89" s="114"/>
      <c r="AS89" s="114"/>
    </row>
    <row r="90" spans="12:45" ht="15.6" x14ac:dyDescent="0.3">
      <c r="L90" s="13"/>
      <c r="M90" s="13"/>
      <c r="Y90" s="61"/>
      <c r="Z90" s="62"/>
      <c r="AA90" s="63"/>
      <c r="AB90" s="60"/>
      <c r="AC90" s="60"/>
      <c r="AE90" s="114"/>
      <c r="AF90" s="114"/>
      <c r="AG90" s="114"/>
      <c r="AH90" s="114"/>
      <c r="AI90" s="114"/>
      <c r="AJ90" s="114"/>
      <c r="AK90" s="114"/>
      <c r="AL90" s="114"/>
      <c r="AM90" s="114"/>
      <c r="AN90" s="114"/>
      <c r="AO90" s="114"/>
      <c r="AP90" s="114"/>
      <c r="AQ90" s="114"/>
      <c r="AR90" s="114"/>
      <c r="AS90" s="114"/>
    </row>
    <row r="91" spans="12:45" ht="15.6" x14ac:dyDescent="0.3">
      <c r="L91" s="13"/>
      <c r="M91" s="13"/>
      <c r="Y91" s="61"/>
      <c r="Z91" s="62"/>
      <c r="AA91" s="63"/>
      <c r="AB91" s="60"/>
      <c r="AC91" s="60"/>
      <c r="AE91" s="114"/>
      <c r="AF91" s="114"/>
      <c r="AG91" s="114"/>
      <c r="AH91" s="114"/>
      <c r="AI91" s="114"/>
      <c r="AJ91" s="114"/>
      <c r="AK91" s="114"/>
      <c r="AL91" s="114"/>
      <c r="AM91" s="114"/>
      <c r="AN91" s="114"/>
      <c r="AO91" s="114"/>
      <c r="AP91" s="114"/>
      <c r="AQ91" s="114"/>
      <c r="AR91" s="114"/>
      <c r="AS91" s="114"/>
    </row>
    <row r="92" spans="12:45" ht="15.6" x14ac:dyDescent="0.3">
      <c r="L92" s="13"/>
      <c r="M92" s="13"/>
      <c r="Y92" s="61"/>
      <c r="Z92" s="62"/>
      <c r="AA92" s="63"/>
      <c r="AB92" s="60"/>
      <c r="AC92" s="60"/>
      <c r="AE92" s="114"/>
      <c r="AF92" s="114"/>
      <c r="AG92" s="114"/>
      <c r="AH92" s="114"/>
      <c r="AI92" s="114"/>
      <c r="AJ92" s="114"/>
      <c r="AK92" s="114"/>
      <c r="AL92" s="114"/>
      <c r="AM92" s="114"/>
      <c r="AN92" s="114"/>
      <c r="AO92" s="114"/>
      <c r="AP92" s="114"/>
      <c r="AQ92" s="114"/>
      <c r="AR92" s="114"/>
      <c r="AS92" s="114"/>
    </row>
    <row r="93" spans="12:45" ht="15.6" x14ac:dyDescent="0.3">
      <c r="L93" s="13"/>
      <c r="M93" s="13"/>
      <c r="Y93" s="61"/>
      <c r="Z93" s="62"/>
      <c r="AA93" s="63"/>
      <c r="AB93" s="60"/>
      <c r="AC93" s="60"/>
      <c r="AE93" s="114"/>
      <c r="AF93" s="114"/>
      <c r="AG93" s="114"/>
      <c r="AH93" s="114"/>
      <c r="AI93" s="114"/>
      <c r="AJ93" s="114"/>
      <c r="AK93" s="114"/>
      <c r="AL93" s="114"/>
      <c r="AM93" s="114"/>
      <c r="AN93" s="114"/>
      <c r="AO93" s="114"/>
      <c r="AP93" s="114"/>
      <c r="AQ93" s="114"/>
      <c r="AR93" s="114"/>
      <c r="AS93" s="114"/>
    </row>
    <row r="94" spans="12:45" ht="15.6" x14ac:dyDescent="0.3">
      <c r="L94" s="13"/>
      <c r="M94" s="13"/>
      <c r="Y94" s="61"/>
      <c r="Z94" s="62"/>
      <c r="AA94" s="63"/>
      <c r="AB94" s="60"/>
      <c r="AC94" s="60"/>
      <c r="AE94" s="114"/>
      <c r="AF94" s="114"/>
      <c r="AG94" s="114"/>
      <c r="AH94" s="114"/>
      <c r="AI94" s="114"/>
      <c r="AJ94" s="114"/>
      <c r="AK94" s="114"/>
      <c r="AL94" s="114"/>
      <c r="AM94" s="114"/>
      <c r="AN94" s="114"/>
      <c r="AO94" s="114"/>
      <c r="AP94" s="114"/>
      <c r="AQ94" s="114"/>
      <c r="AR94" s="114"/>
      <c r="AS94" s="114"/>
    </row>
    <row r="95" spans="12:45" ht="15.6" x14ac:dyDescent="0.3">
      <c r="L95" s="13"/>
      <c r="M95" s="13"/>
      <c r="Y95" s="61"/>
      <c r="Z95" s="62"/>
      <c r="AA95" s="63"/>
      <c r="AB95" s="60"/>
      <c r="AC95" s="60"/>
      <c r="AE95" s="114"/>
      <c r="AF95" s="114"/>
      <c r="AG95" s="114"/>
      <c r="AH95" s="114"/>
      <c r="AI95" s="114"/>
      <c r="AJ95" s="114"/>
      <c r="AK95" s="114"/>
      <c r="AL95" s="114"/>
      <c r="AM95" s="114"/>
      <c r="AN95" s="114"/>
      <c r="AO95" s="114"/>
      <c r="AP95" s="114"/>
      <c r="AQ95" s="114"/>
      <c r="AR95" s="114"/>
      <c r="AS95" s="114"/>
    </row>
    <row r="96" spans="12:45" ht="15.6" x14ac:dyDescent="0.3">
      <c r="L96" s="13"/>
      <c r="Y96" s="61"/>
      <c r="Z96" s="62"/>
      <c r="AA96" s="63"/>
      <c r="AB96" s="60"/>
      <c r="AC96" s="60"/>
      <c r="AE96" s="114"/>
      <c r="AF96" s="114"/>
      <c r="AG96" s="114"/>
      <c r="AH96" s="114"/>
      <c r="AI96" s="114"/>
      <c r="AJ96" s="114"/>
      <c r="AK96" s="114"/>
      <c r="AL96" s="114"/>
      <c r="AM96" s="114"/>
      <c r="AN96" s="114"/>
      <c r="AO96" s="114"/>
      <c r="AP96" s="114"/>
      <c r="AQ96" s="114"/>
      <c r="AR96" s="114"/>
      <c r="AS96" s="114"/>
    </row>
    <row r="97" spans="12:45" ht="15.6" x14ac:dyDescent="0.3">
      <c r="L97" s="13"/>
      <c r="M97" s="13"/>
      <c r="Y97" s="61"/>
      <c r="Z97" s="62"/>
      <c r="AA97" s="63"/>
      <c r="AB97" s="60"/>
      <c r="AC97" s="60"/>
      <c r="AE97" s="114"/>
      <c r="AF97" s="114"/>
      <c r="AG97" s="114"/>
      <c r="AH97" s="114"/>
      <c r="AI97" s="114"/>
      <c r="AJ97" s="114"/>
      <c r="AK97" s="114"/>
      <c r="AL97" s="114"/>
      <c r="AM97" s="114"/>
      <c r="AN97" s="114"/>
      <c r="AO97" s="114"/>
      <c r="AP97" s="114"/>
      <c r="AQ97" s="114"/>
      <c r="AR97" s="114"/>
      <c r="AS97" s="114"/>
    </row>
    <row r="98" spans="12:45" ht="15.6" x14ac:dyDescent="0.3">
      <c r="L98" s="13"/>
      <c r="M98" s="13"/>
      <c r="Y98" s="61"/>
      <c r="Z98" s="62"/>
      <c r="AA98" s="63"/>
      <c r="AB98" s="60"/>
      <c r="AC98" s="60"/>
      <c r="AE98" s="114"/>
      <c r="AF98" s="114"/>
      <c r="AG98" s="114"/>
      <c r="AH98" s="114"/>
      <c r="AI98" s="114"/>
      <c r="AJ98" s="114"/>
      <c r="AK98" s="114"/>
      <c r="AL98" s="114"/>
      <c r="AM98" s="114"/>
      <c r="AN98" s="114"/>
      <c r="AO98" s="114"/>
      <c r="AP98" s="114"/>
      <c r="AQ98" s="114"/>
      <c r="AR98" s="114"/>
      <c r="AS98" s="114"/>
    </row>
    <row r="99" spans="12:45" ht="15.6" x14ac:dyDescent="0.3">
      <c r="L99" s="13"/>
      <c r="M99" s="13"/>
      <c r="W99" s="60"/>
      <c r="X99" s="60"/>
      <c r="Y99" s="61"/>
      <c r="Z99" s="62"/>
      <c r="AA99" s="63"/>
      <c r="AB99" s="60"/>
      <c r="AC99" s="60"/>
      <c r="AE99" s="114"/>
      <c r="AF99" s="114"/>
      <c r="AG99" s="114"/>
      <c r="AH99" s="114"/>
      <c r="AI99" s="114"/>
      <c r="AJ99" s="114"/>
      <c r="AK99" s="114"/>
      <c r="AL99" s="114"/>
      <c r="AM99" s="114"/>
      <c r="AN99" s="114"/>
      <c r="AO99" s="114"/>
      <c r="AP99" s="114"/>
      <c r="AQ99" s="114"/>
      <c r="AR99" s="114"/>
      <c r="AS99" s="114"/>
    </row>
    <row r="100" spans="12:45" ht="15.6" x14ac:dyDescent="0.3">
      <c r="L100" s="13"/>
      <c r="M100" s="13"/>
      <c r="W100" s="60"/>
      <c r="X100" s="60"/>
      <c r="Y100" s="61"/>
      <c r="Z100" s="62"/>
      <c r="AA100" s="63"/>
      <c r="AB100" s="60"/>
      <c r="AC100" s="60"/>
      <c r="AE100" s="114"/>
      <c r="AF100" s="114"/>
      <c r="AG100" s="114"/>
      <c r="AH100" s="114"/>
      <c r="AI100" s="114"/>
      <c r="AJ100" s="114"/>
      <c r="AK100" s="114"/>
      <c r="AL100" s="114"/>
      <c r="AM100" s="114"/>
      <c r="AN100" s="114"/>
      <c r="AO100" s="114"/>
      <c r="AP100" s="114"/>
      <c r="AQ100" s="114"/>
      <c r="AR100" s="114"/>
      <c r="AS100" s="114"/>
    </row>
    <row r="101" spans="12:45" x14ac:dyDescent="0.3">
      <c r="L101" s="13"/>
      <c r="M101" s="13"/>
      <c r="AE101" s="114"/>
      <c r="AF101" s="114"/>
      <c r="AG101" s="114"/>
      <c r="AH101" s="114"/>
      <c r="AI101" s="114"/>
      <c r="AJ101" s="114"/>
      <c r="AK101" s="114"/>
      <c r="AL101" s="114"/>
      <c r="AM101" s="114"/>
      <c r="AN101" s="114"/>
      <c r="AO101" s="114"/>
      <c r="AP101" s="114"/>
      <c r="AQ101" s="114"/>
      <c r="AR101" s="114"/>
      <c r="AS101" s="114"/>
    </row>
    <row r="102" spans="12:45" x14ac:dyDescent="0.3">
      <c r="L102" s="13"/>
      <c r="M102" s="13"/>
    </row>
    <row r="103" spans="12:45" x14ac:dyDescent="0.3">
      <c r="L103" s="13"/>
      <c r="M103" s="13"/>
      <c r="AI103" s="12"/>
    </row>
    <row r="104" spans="12:45" x14ac:dyDescent="0.3">
      <c r="L104" s="13"/>
      <c r="M104" s="13"/>
    </row>
    <row r="105" spans="12:45" x14ac:dyDescent="0.3">
      <c r="L105" s="13"/>
      <c r="M105" s="13"/>
    </row>
    <row r="106" spans="12:45" x14ac:dyDescent="0.3">
      <c r="L106" s="13"/>
      <c r="M106" s="13"/>
    </row>
    <row r="107" spans="12:45" x14ac:dyDescent="0.3">
      <c r="L107" s="13"/>
      <c r="M107" s="13"/>
    </row>
    <row r="108" spans="12:45" x14ac:dyDescent="0.3">
      <c r="L108" s="13"/>
      <c r="M108" s="13"/>
    </row>
    <row r="109" spans="12:45" x14ac:dyDescent="0.3">
      <c r="L109" s="13"/>
      <c r="M109" s="13"/>
    </row>
    <row r="110" spans="12:45" x14ac:dyDescent="0.3">
      <c r="L110" s="13"/>
      <c r="M110" s="13"/>
    </row>
    <row r="111" spans="12:45" x14ac:dyDescent="0.3">
      <c r="L111" s="13"/>
      <c r="M111" s="13"/>
    </row>
    <row r="112" spans="12:45" x14ac:dyDescent="0.3">
      <c r="L112" s="13"/>
      <c r="M112" s="13"/>
    </row>
    <row r="113" spans="12:13" x14ac:dyDescent="0.3">
      <c r="L113" s="13"/>
      <c r="M113" s="13"/>
    </row>
  </sheetData>
  <mergeCells count="7">
    <mergeCell ref="Z1:AD1"/>
    <mergeCell ref="Z2:AD73"/>
    <mergeCell ref="S1:U1"/>
    <mergeCell ref="S2:U2"/>
    <mergeCell ref="S10:U10"/>
    <mergeCell ref="V1:X1"/>
    <mergeCell ref="V29:X29"/>
  </mergeCells>
  <conditionalFormatting sqref="G3:G12">
    <cfRule type="cellIs" dxfId="0" priority="1" operator="equal">
      <formula>0</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userform">
                <anchor moveWithCells="1" sizeWithCells="1">
                  <from>
                    <xdr:col>0</xdr:col>
                    <xdr:colOff>0</xdr:colOff>
                    <xdr:row>13</xdr:row>
                    <xdr:rowOff>0</xdr:rowOff>
                  </from>
                  <to>
                    <xdr:col>4</xdr:col>
                    <xdr:colOff>0</xdr:colOff>
                    <xdr:row>16</xdr:row>
                    <xdr:rowOff>83820</xdr:rowOff>
                  </to>
                </anchor>
              </controlPr>
            </control>
          </mc:Choice>
        </mc:AlternateContent>
        <mc:AlternateContent xmlns:mc="http://schemas.openxmlformats.org/markup-compatibility/2006">
          <mc:Choice Requires="x14">
            <control shapeId="3081" r:id="rId5" name="Button 9">
              <controlPr defaultSize="0" print="0" autoFill="0" autoPict="0" macro="[0]!Update_Timeseries">
                <anchor moveWithCells="1" sizeWithCells="1">
                  <from>
                    <xdr:col>4</xdr:col>
                    <xdr:colOff>15240</xdr:colOff>
                    <xdr:row>13</xdr:row>
                    <xdr:rowOff>0</xdr:rowOff>
                  </from>
                  <to>
                    <xdr:col>8</xdr:col>
                    <xdr:colOff>0</xdr:colOff>
                    <xdr:row>16</xdr:row>
                    <xdr:rowOff>83820</xdr:rowOff>
                  </to>
                </anchor>
              </controlPr>
            </control>
          </mc:Choice>
        </mc:AlternateContent>
        <mc:AlternateContent xmlns:mc="http://schemas.openxmlformats.org/markup-compatibility/2006">
          <mc:Choice Requires="x14">
            <control shapeId="3082" r:id="rId6" name="Button 10">
              <controlPr defaultSize="0" print="0" autoFill="0" autoPict="0" macro="[0]!button_agent_01">
                <anchor moveWithCells="1" sizeWithCells="1">
                  <from>
                    <xdr:col>18</xdr:col>
                    <xdr:colOff>83820</xdr:colOff>
                    <xdr:row>25</xdr:row>
                    <xdr:rowOff>106680</xdr:rowOff>
                  </from>
                  <to>
                    <xdr:col>20</xdr:col>
                    <xdr:colOff>899160</xdr:colOff>
                    <xdr:row>27</xdr:row>
                    <xdr:rowOff>91440</xdr:rowOff>
                  </to>
                </anchor>
              </controlPr>
            </control>
          </mc:Choice>
        </mc:AlternateContent>
        <mc:AlternateContent xmlns:mc="http://schemas.openxmlformats.org/markup-compatibility/2006">
          <mc:Choice Requires="x14">
            <control shapeId="3092" r:id="rId7" name="Button 20">
              <controlPr defaultSize="0" print="0" autoFill="0" autoPict="0" macro="[0]!button_agent_02">
                <anchor moveWithCells="1" sizeWithCells="1">
                  <from>
                    <xdr:col>18</xdr:col>
                    <xdr:colOff>83820</xdr:colOff>
                    <xdr:row>28</xdr:row>
                    <xdr:rowOff>15240</xdr:rowOff>
                  </from>
                  <to>
                    <xdr:col>20</xdr:col>
                    <xdr:colOff>899160</xdr:colOff>
                    <xdr:row>29</xdr:row>
                    <xdr:rowOff>167640</xdr:rowOff>
                  </to>
                </anchor>
              </controlPr>
            </control>
          </mc:Choice>
        </mc:AlternateContent>
        <mc:AlternateContent xmlns:mc="http://schemas.openxmlformats.org/markup-compatibility/2006">
          <mc:Choice Requires="x14">
            <control shapeId="3093" r:id="rId8" name="Button 21">
              <controlPr defaultSize="0" print="0" autoFill="0" autoPict="0" macro="[0]!button_agent_03">
                <anchor moveWithCells="1" sizeWithCells="1">
                  <from>
                    <xdr:col>18</xdr:col>
                    <xdr:colOff>83820</xdr:colOff>
                    <xdr:row>30</xdr:row>
                    <xdr:rowOff>99060</xdr:rowOff>
                  </from>
                  <to>
                    <xdr:col>20</xdr:col>
                    <xdr:colOff>899160</xdr:colOff>
                    <xdr:row>32</xdr:row>
                    <xdr:rowOff>99060</xdr:rowOff>
                  </to>
                </anchor>
              </controlPr>
            </control>
          </mc:Choice>
        </mc:AlternateContent>
        <mc:AlternateContent xmlns:mc="http://schemas.openxmlformats.org/markup-compatibility/2006">
          <mc:Choice Requires="x14">
            <control shapeId="3094" r:id="rId9" name="Button 22">
              <controlPr defaultSize="0" print="0" autoFill="0" autoPict="0" macro="[0]!button_agent_04">
                <anchor moveWithCells="1" sizeWithCells="1">
                  <from>
                    <xdr:col>18</xdr:col>
                    <xdr:colOff>83820</xdr:colOff>
                    <xdr:row>33</xdr:row>
                    <xdr:rowOff>22860</xdr:rowOff>
                  </from>
                  <to>
                    <xdr:col>20</xdr:col>
                    <xdr:colOff>899160</xdr:colOff>
                    <xdr:row>35</xdr:row>
                    <xdr:rowOff>7620</xdr:rowOff>
                  </to>
                </anchor>
              </controlPr>
            </control>
          </mc:Choice>
        </mc:AlternateContent>
        <mc:AlternateContent xmlns:mc="http://schemas.openxmlformats.org/markup-compatibility/2006">
          <mc:Choice Requires="x14">
            <control shapeId="3095" r:id="rId10" name="Button 23">
              <controlPr defaultSize="0" print="0" autoFill="0" autoPict="0" macro="[0]!button_agent_05">
                <anchor moveWithCells="1" sizeWithCells="1">
                  <from>
                    <xdr:col>18</xdr:col>
                    <xdr:colOff>83820</xdr:colOff>
                    <xdr:row>35</xdr:row>
                    <xdr:rowOff>121920</xdr:rowOff>
                  </from>
                  <to>
                    <xdr:col>20</xdr:col>
                    <xdr:colOff>899160</xdr:colOff>
                    <xdr:row>37</xdr:row>
                    <xdr:rowOff>106680</xdr:rowOff>
                  </to>
                </anchor>
              </controlPr>
            </control>
          </mc:Choice>
        </mc:AlternateContent>
        <mc:AlternateContent xmlns:mc="http://schemas.openxmlformats.org/markup-compatibility/2006">
          <mc:Choice Requires="x14">
            <control shapeId="3096" r:id="rId11" name="Button 24">
              <controlPr defaultSize="0" print="0" autoFill="0" autoPict="0" macro="[0]!button_agent_06">
                <anchor moveWithCells="1" sizeWithCells="1">
                  <from>
                    <xdr:col>18</xdr:col>
                    <xdr:colOff>83820</xdr:colOff>
                    <xdr:row>38</xdr:row>
                    <xdr:rowOff>45720</xdr:rowOff>
                  </from>
                  <to>
                    <xdr:col>20</xdr:col>
                    <xdr:colOff>906780</xdr:colOff>
                    <xdr:row>40</xdr:row>
                    <xdr:rowOff>38100</xdr:rowOff>
                  </to>
                </anchor>
              </controlPr>
            </control>
          </mc:Choice>
        </mc:AlternateContent>
        <mc:AlternateContent xmlns:mc="http://schemas.openxmlformats.org/markup-compatibility/2006">
          <mc:Choice Requires="x14">
            <control shapeId="3097" r:id="rId12" name="Button 25">
              <controlPr defaultSize="0" print="0" autoFill="0" autoPict="0" macro="[0]!button_agent_07">
                <anchor moveWithCells="1" sizeWithCells="1">
                  <from>
                    <xdr:col>18</xdr:col>
                    <xdr:colOff>83820</xdr:colOff>
                    <xdr:row>40</xdr:row>
                    <xdr:rowOff>160020</xdr:rowOff>
                  </from>
                  <to>
                    <xdr:col>20</xdr:col>
                    <xdr:colOff>899160</xdr:colOff>
                    <xdr:row>42</xdr:row>
                    <xdr:rowOff>137160</xdr:rowOff>
                  </to>
                </anchor>
              </controlPr>
            </control>
          </mc:Choice>
        </mc:AlternateContent>
        <mc:AlternateContent xmlns:mc="http://schemas.openxmlformats.org/markup-compatibility/2006">
          <mc:Choice Requires="x14">
            <control shapeId="3098" r:id="rId13" name="Button 26">
              <controlPr defaultSize="0" print="0" autoFill="0" autoPict="0" macro="[0]!button_agent_08">
                <anchor moveWithCells="1" sizeWithCells="1">
                  <from>
                    <xdr:col>18</xdr:col>
                    <xdr:colOff>83820</xdr:colOff>
                    <xdr:row>43</xdr:row>
                    <xdr:rowOff>76200</xdr:rowOff>
                  </from>
                  <to>
                    <xdr:col>20</xdr:col>
                    <xdr:colOff>899160</xdr:colOff>
                    <xdr:row>45</xdr:row>
                    <xdr:rowOff>53340</xdr:rowOff>
                  </to>
                </anchor>
              </controlPr>
            </control>
          </mc:Choice>
        </mc:AlternateContent>
        <mc:AlternateContent xmlns:mc="http://schemas.openxmlformats.org/markup-compatibility/2006">
          <mc:Choice Requires="x14">
            <control shapeId="3099" r:id="rId14" name="Button 27">
              <controlPr defaultSize="0" print="0" autoFill="0" autoPict="0" macro="[0]!button_agent_09">
                <anchor moveWithCells="1" sizeWithCells="1">
                  <from>
                    <xdr:col>18</xdr:col>
                    <xdr:colOff>83820</xdr:colOff>
                    <xdr:row>45</xdr:row>
                    <xdr:rowOff>167640</xdr:rowOff>
                  </from>
                  <to>
                    <xdr:col>20</xdr:col>
                    <xdr:colOff>906780</xdr:colOff>
                    <xdr:row>47</xdr:row>
                    <xdr:rowOff>137160</xdr:rowOff>
                  </to>
                </anchor>
              </controlPr>
            </control>
          </mc:Choice>
        </mc:AlternateContent>
        <mc:AlternateContent xmlns:mc="http://schemas.openxmlformats.org/markup-compatibility/2006">
          <mc:Choice Requires="x14">
            <control shapeId="3100" r:id="rId15" name="Button 28">
              <controlPr defaultSize="0" print="0" autoFill="0" autoPict="0" macro="[0]!button_agent_10">
                <anchor moveWithCells="1" sizeWithCells="1">
                  <from>
                    <xdr:col>18</xdr:col>
                    <xdr:colOff>83820</xdr:colOff>
                    <xdr:row>48</xdr:row>
                    <xdr:rowOff>76200</xdr:rowOff>
                  </from>
                  <to>
                    <xdr:col>20</xdr:col>
                    <xdr:colOff>906780</xdr:colOff>
                    <xdr:row>50</xdr:row>
                    <xdr:rowOff>45720</xdr:rowOff>
                  </to>
                </anchor>
              </controlPr>
            </control>
          </mc:Choice>
        </mc:AlternateContent>
        <mc:AlternateContent xmlns:mc="http://schemas.openxmlformats.org/markup-compatibility/2006">
          <mc:Choice Requires="x14">
            <control shapeId="3101" r:id="rId16" name="Button 29">
              <controlPr defaultSize="0" print="0" autoFill="0" autoPict="0" macro="[0]!plot_night">
                <anchor moveWithCells="1" sizeWithCells="1">
                  <from>
                    <xdr:col>18</xdr:col>
                    <xdr:colOff>121920</xdr:colOff>
                    <xdr:row>6</xdr:row>
                    <xdr:rowOff>167640</xdr:rowOff>
                  </from>
                  <to>
                    <xdr:col>20</xdr:col>
                    <xdr:colOff>845820</xdr:colOff>
                    <xdr:row>8</xdr:row>
                    <xdr:rowOff>137160</xdr:rowOff>
                  </to>
                </anchor>
              </controlPr>
            </control>
          </mc:Choice>
        </mc:AlternateContent>
        <mc:AlternateContent xmlns:mc="http://schemas.openxmlformats.org/markup-compatibility/2006">
          <mc:Choice Requires="x14">
            <control shapeId="3102" r:id="rId17" name="Button 30">
              <controlPr defaultSize="0" print="0" autoFill="0" autoPict="0" macro="[0]!plot_stand">
                <anchor moveWithCells="1" sizeWithCells="1">
                  <from>
                    <xdr:col>18</xdr:col>
                    <xdr:colOff>129540</xdr:colOff>
                    <xdr:row>2</xdr:row>
                    <xdr:rowOff>114300</xdr:rowOff>
                  </from>
                  <to>
                    <xdr:col>20</xdr:col>
                    <xdr:colOff>861060</xdr:colOff>
                    <xdr:row>4</xdr:row>
                    <xdr:rowOff>91440</xdr:rowOff>
                  </to>
                </anchor>
              </controlPr>
            </control>
          </mc:Choice>
        </mc:AlternateContent>
        <mc:AlternateContent xmlns:mc="http://schemas.openxmlformats.org/markup-compatibility/2006">
          <mc:Choice Requires="x14">
            <control shapeId="3103" r:id="rId18" name="Button 31">
              <controlPr defaultSize="0" print="0" autoFill="0" autoPict="0" macro="[0]!plot_fuzzy">
                <anchor moveWithCells="1" sizeWithCells="1">
                  <from>
                    <xdr:col>18</xdr:col>
                    <xdr:colOff>121920</xdr:colOff>
                    <xdr:row>4</xdr:row>
                    <xdr:rowOff>129540</xdr:rowOff>
                  </from>
                  <to>
                    <xdr:col>20</xdr:col>
                    <xdr:colOff>845820</xdr:colOff>
                    <xdr:row>6</xdr:row>
                    <xdr:rowOff>114300</xdr:rowOff>
                  </to>
                </anchor>
              </controlPr>
            </control>
          </mc:Choice>
        </mc:AlternateContent>
        <mc:AlternateContent xmlns:mc="http://schemas.openxmlformats.org/markup-compatibility/2006">
          <mc:Choice Requires="x14">
            <control shapeId="3104" r:id="rId19" name="Button 32">
              <controlPr defaultSize="0" print="0" autoFill="0" autoPict="0" macro="[0]!plot_afternoon">
                <anchor moveWithCells="1" sizeWithCells="1">
                  <from>
                    <xdr:col>18</xdr:col>
                    <xdr:colOff>137160</xdr:colOff>
                    <xdr:row>12</xdr:row>
                    <xdr:rowOff>274320</xdr:rowOff>
                  </from>
                  <to>
                    <xdr:col>20</xdr:col>
                    <xdr:colOff>830580</xdr:colOff>
                    <xdr:row>15</xdr:row>
                    <xdr:rowOff>129540</xdr:rowOff>
                  </to>
                </anchor>
              </controlPr>
            </control>
          </mc:Choice>
        </mc:AlternateContent>
        <mc:AlternateContent xmlns:mc="http://schemas.openxmlformats.org/markup-compatibility/2006">
          <mc:Choice Requires="x14">
            <control shapeId="3105" r:id="rId20" name="Button 33">
              <controlPr defaultSize="0" print="0" autoFill="0" autoPict="0" macro="[0]!plot_forenoon">
                <anchor moveWithCells="1" sizeWithCells="1">
                  <from>
                    <xdr:col>18</xdr:col>
                    <xdr:colOff>137160</xdr:colOff>
                    <xdr:row>10</xdr:row>
                    <xdr:rowOff>236220</xdr:rowOff>
                  </from>
                  <to>
                    <xdr:col>20</xdr:col>
                    <xdr:colOff>830580</xdr:colOff>
                    <xdr:row>12</xdr:row>
                    <xdr:rowOff>220980</xdr:rowOff>
                  </to>
                </anchor>
              </controlPr>
            </control>
          </mc:Choice>
        </mc:AlternateContent>
        <mc:AlternateContent xmlns:mc="http://schemas.openxmlformats.org/markup-compatibility/2006">
          <mc:Choice Requires="x14">
            <control shapeId="3106" r:id="rId21" name="Button 34">
              <controlPr defaultSize="0" print="0" autoFill="0" autoPict="0" macro="[0]!plot_noon">
                <anchor moveWithCells="1" sizeWithCells="1">
                  <from>
                    <xdr:col>18</xdr:col>
                    <xdr:colOff>137160</xdr:colOff>
                    <xdr:row>15</xdr:row>
                    <xdr:rowOff>167640</xdr:rowOff>
                  </from>
                  <to>
                    <xdr:col>20</xdr:col>
                    <xdr:colOff>830580</xdr:colOff>
                    <xdr:row>18</xdr:row>
                    <xdr:rowOff>137160</xdr:rowOff>
                  </to>
                </anchor>
              </controlPr>
            </control>
          </mc:Choice>
        </mc:AlternateContent>
        <mc:AlternateContent xmlns:mc="http://schemas.openxmlformats.org/markup-compatibility/2006">
          <mc:Choice Requires="x14">
            <control shapeId="3107" r:id="rId22" name="Button 35">
              <controlPr defaultSize="0" print="0" autoFill="0" autoPict="0" macro="[0]!clear_sim_data">
                <anchor moveWithCells="1" sizeWithCells="1">
                  <from>
                    <xdr:col>18</xdr:col>
                    <xdr:colOff>274320</xdr:colOff>
                    <xdr:row>51</xdr:row>
                    <xdr:rowOff>106680</xdr:rowOff>
                  </from>
                  <to>
                    <xdr:col>20</xdr:col>
                    <xdr:colOff>731520</xdr:colOff>
                    <xdr:row>54</xdr:row>
                    <xdr:rowOff>38100</xdr:rowOff>
                  </to>
                </anchor>
              </controlPr>
            </control>
          </mc:Choice>
        </mc:AlternateContent>
        <mc:AlternateContent xmlns:mc="http://schemas.openxmlformats.org/markup-compatibility/2006">
          <mc:Choice Requires="x14">
            <control shapeId="3108" r:id="rId23" name="Button 36">
              <controlPr defaultSize="0" print="0" autoFill="0" autoPict="0" macro="[0]!Insert_Prices">
                <anchor moveWithCells="1" sizeWithCells="1">
                  <from>
                    <xdr:col>18</xdr:col>
                    <xdr:colOff>22860</xdr:colOff>
                    <xdr:row>20</xdr:row>
                    <xdr:rowOff>0</xdr:rowOff>
                  </from>
                  <to>
                    <xdr:col>20</xdr:col>
                    <xdr:colOff>914400</xdr:colOff>
                    <xdr:row>24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E72DF-C39A-43CA-BD43-1786928B4AAC}">
  <sheetPr codeName="Tabelle15"/>
  <dimension ref="A1:W100"/>
  <sheetViews>
    <sheetView zoomScale="55" zoomScaleNormal="55" workbookViewId="0">
      <selection activeCell="W26" sqref="W26"/>
    </sheetView>
  </sheetViews>
  <sheetFormatPr baseColWidth="10" defaultRowHeight="18" customHeight="1" x14ac:dyDescent="0.3"/>
  <cols>
    <col min="1" max="1" width="19.88671875" style="1" bestFit="1" customWidth="1"/>
    <col min="2" max="2" width="21.5546875" style="1" customWidth="1"/>
    <col min="3" max="5" width="17.44140625" style="1" customWidth="1"/>
    <col min="6" max="6" width="17.44140625" customWidth="1"/>
    <col min="7" max="7" width="17.44140625" style="1" customWidth="1"/>
    <col min="8" max="12" width="17.44140625" customWidth="1"/>
    <col min="14" max="21" width="13.77734375" style="1" customWidth="1"/>
    <col min="24" max="16384" width="11.5546875" style="1"/>
  </cols>
  <sheetData>
    <row r="1" spans="1:23" ht="41.4" customHeight="1" thickBot="1" x14ac:dyDescent="0.35">
      <c r="A1" s="158" t="s">
        <v>90</v>
      </c>
      <c r="B1" s="159"/>
      <c r="C1" s="160" t="s">
        <v>12</v>
      </c>
      <c r="D1" s="161" t="s">
        <v>0</v>
      </c>
      <c r="F1" s="1"/>
      <c r="H1" s="1"/>
      <c r="I1" s="1"/>
      <c r="J1" s="1"/>
      <c r="K1" s="1"/>
      <c r="L1" s="1"/>
      <c r="M1" s="1"/>
      <c r="V1" s="1"/>
      <c r="W1" s="1"/>
    </row>
    <row r="2" spans="1:23" ht="22.05" customHeight="1" x14ac:dyDescent="0.45">
      <c r="A2" s="126" t="s">
        <v>88</v>
      </c>
      <c r="B2" s="35" t="s">
        <v>89</v>
      </c>
      <c r="C2" s="37" t="s">
        <v>11</v>
      </c>
      <c r="D2" s="38" t="s">
        <v>11</v>
      </c>
      <c r="E2" s="39" t="s">
        <v>14</v>
      </c>
      <c r="F2" s="39" t="s">
        <v>14</v>
      </c>
      <c r="G2" s="39" t="s">
        <v>14</v>
      </c>
      <c r="H2" s="39" t="s">
        <v>14</v>
      </c>
      <c r="I2" s="39" t="s">
        <v>14</v>
      </c>
      <c r="J2" s="39" t="s">
        <v>14</v>
      </c>
      <c r="K2" s="39" t="s">
        <v>14</v>
      </c>
      <c r="L2" s="39" t="s">
        <v>14</v>
      </c>
      <c r="M2" s="40"/>
      <c r="N2" s="40"/>
      <c r="O2" s="39"/>
      <c r="P2" s="39"/>
      <c r="Q2" s="39"/>
      <c r="R2" s="41"/>
      <c r="S2" s="40"/>
      <c r="T2" s="40"/>
    </row>
    <row r="3" spans="1:23" ht="22.05" customHeight="1" thickBot="1" x14ac:dyDescent="0.5">
      <c r="A3" s="126"/>
      <c r="B3" s="35"/>
      <c r="C3" s="20" t="s">
        <v>27</v>
      </c>
      <c r="D3" s="21" t="s">
        <v>85</v>
      </c>
      <c r="E3" s="118" t="s">
        <v>99</v>
      </c>
      <c r="F3" s="118" t="s">
        <v>100</v>
      </c>
      <c r="G3" s="118" t="s">
        <v>101</v>
      </c>
      <c r="H3" s="118" t="s">
        <v>102</v>
      </c>
      <c r="I3" s="118" t="s">
        <v>105</v>
      </c>
      <c r="J3" s="118" t="s">
        <v>107</v>
      </c>
      <c r="K3" s="118" t="s">
        <v>106</v>
      </c>
      <c r="L3" s="118" t="s">
        <v>108</v>
      </c>
      <c r="M3" s="57"/>
      <c r="N3" s="57"/>
      <c r="O3" s="57"/>
      <c r="P3" s="57"/>
      <c r="Q3" s="57"/>
      <c r="R3" s="58"/>
      <c r="S3" s="57"/>
      <c r="T3" s="57"/>
    </row>
    <row r="4" spans="1:23" ht="22.05" customHeight="1" x14ac:dyDescent="0.45">
      <c r="A4" s="126"/>
      <c r="B4" s="35"/>
      <c r="C4" s="49">
        <v>1</v>
      </c>
      <c r="D4" s="114">
        <v>43265.041666666664</v>
      </c>
      <c r="E4" s="131">
        <v>0</v>
      </c>
      <c r="F4" s="131">
        <v>0</v>
      </c>
      <c r="G4" s="131">
        <v>8</v>
      </c>
      <c r="H4" s="131">
        <v>8</v>
      </c>
      <c r="I4" s="131">
        <v>0</v>
      </c>
      <c r="J4" s="131">
        <v>0</v>
      </c>
      <c r="K4" s="131">
        <v>0</v>
      </c>
      <c r="L4" s="131">
        <v>0</v>
      </c>
      <c r="M4" s="54">
        <v>0</v>
      </c>
      <c r="N4" s="54">
        <v>0</v>
      </c>
      <c r="O4" s="56">
        <v>0</v>
      </c>
      <c r="P4" s="56">
        <v>0</v>
      </c>
      <c r="Q4" s="56">
        <v>0</v>
      </c>
      <c r="R4" s="56">
        <v>0</v>
      </c>
      <c r="S4" s="55">
        <v>0</v>
      </c>
      <c r="T4" s="55"/>
      <c r="V4">
        <f>F4*H4</f>
        <v>0</v>
      </c>
    </row>
    <row r="5" spans="1:23" ht="22.05" customHeight="1" x14ac:dyDescent="0.45">
      <c r="A5" s="126"/>
      <c r="B5" s="35"/>
      <c r="C5" s="19">
        <v>2</v>
      </c>
      <c r="D5" s="114">
        <v>43265.083333333336</v>
      </c>
      <c r="E5" s="131">
        <v>0</v>
      </c>
      <c r="F5" s="131">
        <v>0</v>
      </c>
      <c r="G5" s="131">
        <v>8</v>
      </c>
      <c r="H5" s="131">
        <v>8</v>
      </c>
      <c r="I5" s="131">
        <v>0</v>
      </c>
      <c r="J5" s="131">
        <v>0</v>
      </c>
      <c r="K5" s="131">
        <v>0</v>
      </c>
      <c r="L5" s="131">
        <v>0</v>
      </c>
      <c r="M5" s="6">
        <v>0</v>
      </c>
      <c r="N5" s="6">
        <v>0</v>
      </c>
      <c r="O5" s="56">
        <v>0</v>
      </c>
      <c r="P5" s="56">
        <v>0</v>
      </c>
      <c r="Q5" s="56">
        <v>0</v>
      </c>
      <c r="R5" s="56">
        <v>0</v>
      </c>
      <c r="S5" s="7">
        <v>0</v>
      </c>
      <c r="T5" s="7"/>
      <c r="V5">
        <f t="shared" ref="V5:V27" si="0">F5*H5</f>
        <v>0</v>
      </c>
    </row>
    <row r="6" spans="1:23" ht="22.05" customHeight="1" x14ac:dyDescent="0.45">
      <c r="A6" s="126"/>
      <c r="B6" s="35"/>
      <c r="C6" s="19">
        <v>3</v>
      </c>
      <c r="D6" s="114">
        <v>43265.125</v>
      </c>
      <c r="E6" s="131">
        <v>0</v>
      </c>
      <c r="F6" s="131">
        <v>6</v>
      </c>
      <c r="G6" s="131">
        <v>8</v>
      </c>
      <c r="H6" s="131">
        <v>8</v>
      </c>
      <c r="I6" s="131">
        <v>0</v>
      </c>
      <c r="J6" s="131">
        <v>0</v>
      </c>
      <c r="K6" s="131">
        <v>0</v>
      </c>
      <c r="L6" s="131">
        <v>0</v>
      </c>
      <c r="M6" s="6">
        <v>0</v>
      </c>
      <c r="N6" s="6">
        <v>0</v>
      </c>
      <c r="O6" s="56">
        <v>0</v>
      </c>
      <c r="P6" s="56">
        <v>0</v>
      </c>
      <c r="Q6" s="56">
        <v>0</v>
      </c>
      <c r="R6" s="56">
        <v>0</v>
      </c>
      <c r="S6" s="7">
        <v>0</v>
      </c>
      <c r="T6" s="7"/>
      <c r="V6">
        <f t="shared" si="0"/>
        <v>48</v>
      </c>
    </row>
    <row r="7" spans="1:23" ht="22.05" customHeight="1" x14ac:dyDescent="0.45">
      <c r="A7" s="126"/>
      <c r="B7" s="35"/>
      <c r="C7" s="19">
        <v>4</v>
      </c>
      <c r="D7" s="114">
        <v>43265.166666666664</v>
      </c>
      <c r="E7" s="131">
        <v>0</v>
      </c>
      <c r="F7" s="131">
        <v>6</v>
      </c>
      <c r="G7" s="131">
        <v>8</v>
      </c>
      <c r="H7" s="131">
        <v>8</v>
      </c>
      <c r="I7" s="131">
        <v>0</v>
      </c>
      <c r="J7" s="131">
        <v>0</v>
      </c>
      <c r="K7" s="131">
        <v>0</v>
      </c>
      <c r="L7" s="131">
        <v>0</v>
      </c>
      <c r="M7" s="6">
        <v>0</v>
      </c>
      <c r="N7" s="6">
        <v>0</v>
      </c>
      <c r="O7" s="56">
        <v>0</v>
      </c>
      <c r="P7" s="56">
        <v>0</v>
      </c>
      <c r="Q7" s="56">
        <v>0</v>
      </c>
      <c r="R7" s="56">
        <v>0</v>
      </c>
      <c r="S7" s="7">
        <v>0</v>
      </c>
      <c r="T7" s="7"/>
      <c r="V7">
        <f t="shared" si="0"/>
        <v>48</v>
      </c>
    </row>
    <row r="8" spans="1:23" ht="22.05" customHeight="1" x14ac:dyDescent="0.45">
      <c r="A8" s="126"/>
      <c r="B8" s="35"/>
      <c r="C8" s="19">
        <v>5</v>
      </c>
      <c r="D8" s="114">
        <v>43265.208333333336</v>
      </c>
      <c r="E8" s="131">
        <v>0</v>
      </c>
      <c r="F8" s="131">
        <v>0</v>
      </c>
      <c r="G8" s="131">
        <v>8</v>
      </c>
      <c r="H8" s="131">
        <v>8</v>
      </c>
      <c r="I8" s="131">
        <v>0</v>
      </c>
      <c r="J8" s="131">
        <v>0</v>
      </c>
      <c r="K8" s="131">
        <v>0</v>
      </c>
      <c r="L8" s="131">
        <v>0</v>
      </c>
      <c r="M8" s="6">
        <v>0</v>
      </c>
      <c r="N8" s="6">
        <v>0</v>
      </c>
      <c r="O8" s="56">
        <v>0</v>
      </c>
      <c r="P8" s="56">
        <v>0</v>
      </c>
      <c r="Q8" s="56">
        <v>0</v>
      </c>
      <c r="R8" s="56">
        <v>0</v>
      </c>
      <c r="S8" s="7">
        <v>0</v>
      </c>
      <c r="T8" s="7"/>
      <c r="V8">
        <f t="shared" si="0"/>
        <v>0</v>
      </c>
    </row>
    <row r="9" spans="1:23" ht="22.05" customHeight="1" x14ac:dyDescent="0.45">
      <c r="A9" s="126"/>
      <c r="B9" s="35"/>
      <c r="C9" s="19">
        <v>6</v>
      </c>
      <c r="D9" s="114">
        <v>43265.25</v>
      </c>
      <c r="E9" s="131">
        <v>0</v>
      </c>
      <c r="F9" s="131">
        <v>0</v>
      </c>
      <c r="G9" s="131">
        <v>8</v>
      </c>
      <c r="H9" s="131">
        <v>8</v>
      </c>
      <c r="I9" s="131">
        <v>0</v>
      </c>
      <c r="J9" s="131">
        <v>0</v>
      </c>
      <c r="K9" s="131">
        <v>0</v>
      </c>
      <c r="L9" s="131">
        <v>0</v>
      </c>
      <c r="M9" s="6">
        <v>0</v>
      </c>
      <c r="N9" s="6">
        <v>0</v>
      </c>
      <c r="O9" s="56">
        <v>0</v>
      </c>
      <c r="P9" s="56">
        <v>0</v>
      </c>
      <c r="Q9" s="56">
        <v>0</v>
      </c>
      <c r="R9" s="56">
        <v>0</v>
      </c>
      <c r="S9" s="7">
        <v>0</v>
      </c>
      <c r="T9" s="7"/>
      <c r="V9">
        <f t="shared" si="0"/>
        <v>0</v>
      </c>
    </row>
    <row r="10" spans="1:23" ht="22.05" customHeight="1" x14ac:dyDescent="0.45">
      <c r="A10" s="126"/>
      <c r="B10" s="35"/>
      <c r="C10" s="19">
        <v>7</v>
      </c>
      <c r="D10" s="114">
        <v>43265.291666666664</v>
      </c>
      <c r="E10" s="131">
        <v>0</v>
      </c>
      <c r="F10" s="131">
        <v>0</v>
      </c>
      <c r="G10" s="131">
        <v>8</v>
      </c>
      <c r="H10" s="131">
        <v>8</v>
      </c>
      <c r="I10" s="131">
        <v>0</v>
      </c>
      <c r="J10" s="131">
        <v>0</v>
      </c>
      <c r="K10" s="131">
        <v>0</v>
      </c>
      <c r="L10" s="131">
        <v>0</v>
      </c>
      <c r="M10" s="6">
        <v>0</v>
      </c>
      <c r="N10" s="6">
        <v>0</v>
      </c>
      <c r="O10" s="56">
        <v>0</v>
      </c>
      <c r="P10" s="56">
        <v>0</v>
      </c>
      <c r="Q10" s="56">
        <v>0</v>
      </c>
      <c r="R10" s="56">
        <v>0</v>
      </c>
      <c r="S10" s="7">
        <v>0</v>
      </c>
      <c r="T10" s="7"/>
      <c r="V10">
        <f t="shared" si="0"/>
        <v>0</v>
      </c>
    </row>
    <row r="11" spans="1:23" ht="22.05" customHeight="1" x14ac:dyDescent="0.45">
      <c r="A11" s="126"/>
      <c r="B11" s="35"/>
      <c r="C11" s="19">
        <v>8</v>
      </c>
      <c r="D11" s="114">
        <v>43265.333333333336</v>
      </c>
      <c r="E11" s="131">
        <v>0</v>
      </c>
      <c r="F11" s="131">
        <v>0</v>
      </c>
      <c r="G11" s="131">
        <v>8</v>
      </c>
      <c r="H11" s="131">
        <v>8</v>
      </c>
      <c r="I11" s="131">
        <v>0</v>
      </c>
      <c r="J11" s="131">
        <v>0</v>
      </c>
      <c r="K11" s="131">
        <v>0</v>
      </c>
      <c r="L11" s="131">
        <v>0</v>
      </c>
      <c r="M11" s="6">
        <v>0</v>
      </c>
      <c r="N11" s="6">
        <v>0</v>
      </c>
      <c r="O11" s="56">
        <v>0</v>
      </c>
      <c r="P11" s="56">
        <v>0</v>
      </c>
      <c r="Q11" s="56">
        <v>0</v>
      </c>
      <c r="R11" s="56">
        <v>0</v>
      </c>
      <c r="S11" s="7">
        <v>0</v>
      </c>
      <c r="T11" s="7"/>
      <c r="V11">
        <f t="shared" si="0"/>
        <v>0</v>
      </c>
    </row>
    <row r="12" spans="1:23" ht="22.05" customHeight="1" x14ac:dyDescent="0.45">
      <c r="A12" s="126"/>
      <c r="B12" s="35"/>
      <c r="C12" s="19">
        <v>9</v>
      </c>
      <c r="D12" s="114">
        <v>43265.375</v>
      </c>
      <c r="E12" s="131">
        <v>0</v>
      </c>
      <c r="F12" s="131">
        <v>0</v>
      </c>
      <c r="G12" s="131">
        <v>8</v>
      </c>
      <c r="H12" s="131">
        <v>8</v>
      </c>
      <c r="I12" s="131">
        <v>0</v>
      </c>
      <c r="J12" s="131">
        <v>0</v>
      </c>
      <c r="K12" s="131">
        <v>0</v>
      </c>
      <c r="L12" s="131">
        <v>0</v>
      </c>
      <c r="M12" s="6">
        <v>0</v>
      </c>
      <c r="N12" s="6">
        <v>0</v>
      </c>
      <c r="O12" s="56">
        <v>0</v>
      </c>
      <c r="P12" s="56">
        <v>0</v>
      </c>
      <c r="Q12" s="56">
        <v>0</v>
      </c>
      <c r="R12" s="56">
        <v>0</v>
      </c>
      <c r="S12" s="7">
        <v>0</v>
      </c>
      <c r="T12" s="7"/>
      <c r="V12">
        <f t="shared" si="0"/>
        <v>0</v>
      </c>
    </row>
    <row r="13" spans="1:23" ht="22.05" customHeight="1" x14ac:dyDescent="0.45">
      <c r="A13" s="126"/>
      <c r="B13" s="35"/>
      <c r="C13" s="19">
        <v>10</v>
      </c>
      <c r="D13" s="114">
        <v>43265.416666666664</v>
      </c>
      <c r="E13" s="131">
        <v>0</v>
      </c>
      <c r="F13" s="131">
        <v>0</v>
      </c>
      <c r="G13" s="131">
        <v>8</v>
      </c>
      <c r="H13" s="131">
        <v>8</v>
      </c>
      <c r="I13" s="131">
        <v>0</v>
      </c>
      <c r="J13" s="131">
        <v>0</v>
      </c>
      <c r="K13" s="131">
        <v>0</v>
      </c>
      <c r="L13" s="131">
        <v>0</v>
      </c>
      <c r="M13" s="6">
        <v>0</v>
      </c>
      <c r="N13" s="6">
        <v>0</v>
      </c>
      <c r="O13" s="56">
        <v>0</v>
      </c>
      <c r="P13" s="56">
        <v>0</v>
      </c>
      <c r="Q13" s="56">
        <v>0</v>
      </c>
      <c r="R13" s="56">
        <v>0</v>
      </c>
      <c r="S13" s="7">
        <v>0</v>
      </c>
      <c r="T13" s="7"/>
      <c r="V13">
        <f t="shared" si="0"/>
        <v>0</v>
      </c>
    </row>
    <row r="14" spans="1:23" ht="22.05" customHeight="1" x14ac:dyDescent="0.45">
      <c r="A14" s="162" t="s">
        <v>10</v>
      </c>
      <c r="B14" s="163"/>
      <c r="C14" s="19">
        <v>11</v>
      </c>
      <c r="D14" s="114">
        <v>43265.458333333336</v>
      </c>
      <c r="E14" s="131">
        <v>0</v>
      </c>
      <c r="F14" s="131">
        <v>0</v>
      </c>
      <c r="G14" s="131">
        <v>8</v>
      </c>
      <c r="H14" s="131">
        <v>8</v>
      </c>
      <c r="I14" s="131">
        <v>0</v>
      </c>
      <c r="J14" s="131">
        <v>0</v>
      </c>
      <c r="K14" s="131">
        <v>0</v>
      </c>
      <c r="L14" s="131">
        <v>0</v>
      </c>
      <c r="M14" s="6">
        <v>0</v>
      </c>
      <c r="N14" s="6">
        <v>0</v>
      </c>
      <c r="O14" s="56">
        <v>0</v>
      </c>
      <c r="P14" s="56">
        <v>0</v>
      </c>
      <c r="Q14" s="56">
        <v>0</v>
      </c>
      <c r="R14" s="56">
        <v>0</v>
      </c>
      <c r="S14" s="7">
        <v>0</v>
      </c>
      <c r="T14" s="7"/>
      <c r="V14">
        <f t="shared" si="0"/>
        <v>0</v>
      </c>
    </row>
    <row r="15" spans="1:23" ht="22.05" customHeight="1" x14ac:dyDescent="0.45">
      <c r="A15" s="164">
        <v>0</v>
      </c>
      <c r="B15" s="165"/>
      <c r="C15" s="19">
        <v>12</v>
      </c>
      <c r="D15" s="114">
        <v>43265.5</v>
      </c>
      <c r="E15" s="131">
        <v>0</v>
      </c>
      <c r="F15" s="131">
        <v>0</v>
      </c>
      <c r="G15" s="131">
        <v>8</v>
      </c>
      <c r="H15" s="131">
        <v>8</v>
      </c>
      <c r="I15" s="131">
        <v>0</v>
      </c>
      <c r="J15" s="131">
        <v>0</v>
      </c>
      <c r="K15" s="131">
        <v>0</v>
      </c>
      <c r="L15" s="131">
        <v>0</v>
      </c>
      <c r="M15" s="6">
        <v>0</v>
      </c>
      <c r="N15" s="6">
        <v>0</v>
      </c>
      <c r="O15" s="56">
        <v>0</v>
      </c>
      <c r="P15" s="56">
        <v>0</v>
      </c>
      <c r="Q15" s="56">
        <v>0</v>
      </c>
      <c r="R15" s="56">
        <v>0</v>
      </c>
      <c r="S15" s="7">
        <v>0</v>
      </c>
      <c r="T15" s="7"/>
      <c r="V15">
        <f t="shared" si="0"/>
        <v>0</v>
      </c>
    </row>
    <row r="16" spans="1:23" ht="22.05" customHeight="1" x14ac:dyDescent="0.45">
      <c r="A16" s="164">
        <v>0</v>
      </c>
      <c r="B16" s="165"/>
      <c r="C16" s="19">
        <v>13</v>
      </c>
      <c r="D16" s="114">
        <v>43265.541666666664</v>
      </c>
      <c r="E16" s="131">
        <v>0</v>
      </c>
      <c r="F16" s="131">
        <v>0</v>
      </c>
      <c r="G16" s="131">
        <v>8</v>
      </c>
      <c r="H16" s="131">
        <v>8</v>
      </c>
      <c r="I16" s="131">
        <v>0</v>
      </c>
      <c r="J16" s="131">
        <v>0</v>
      </c>
      <c r="K16" s="131">
        <v>0</v>
      </c>
      <c r="L16" s="131">
        <v>0</v>
      </c>
      <c r="M16" s="6">
        <v>0</v>
      </c>
      <c r="N16" s="6">
        <v>0</v>
      </c>
      <c r="O16" s="56">
        <v>0</v>
      </c>
      <c r="P16" s="56">
        <v>0</v>
      </c>
      <c r="Q16" s="56">
        <v>0</v>
      </c>
      <c r="R16" s="56">
        <v>0</v>
      </c>
      <c r="S16" s="7">
        <v>0</v>
      </c>
      <c r="T16" s="7"/>
      <c r="V16">
        <f t="shared" si="0"/>
        <v>0</v>
      </c>
    </row>
    <row r="17" spans="1:22" ht="22.05" customHeight="1" x14ac:dyDescent="0.3">
      <c r="A17" s="8"/>
      <c r="B17" s="8"/>
      <c r="C17" s="19">
        <v>14</v>
      </c>
      <c r="D17" s="114">
        <v>43265.583333333336</v>
      </c>
      <c r="E17" s="131">
        <v>0</v>
      </c>
      <c r="F17" s="131">
        <v>0</v>
      </c>
      <c r="G17" s="131">
        <v>8</v>
      </c>
      <c r="H17" s="131">
        <v>8</v>
      </c>
      <c r="I17" s="131">
        <v>0</v>
      </c>
      <c r="J17" s="131">
        <v>0</v>
      </c>
      <c r="K17" s="131">
        <v>0</v>
      </c>
      <c r="L17" s="131">
        <v>0</v>
      </c>
      <c r="M17" s="6">
        <v>0</v>
      </c>
      <c r="N17" s="6">
        <v>0</v>
      </c>
      <c r="O17" s="56">
        <v>0</v>
      </c>
      <c r="P17" s="56">
        <v>0</v>
      </c>
      <c r="Q17" s="56">
        <v>0</v>
      </c>
      <c r="R17" s="56">
        <v>0</v>
      </c>
      <c r="S17" s="7">
        <v>0</v>
      </c>
      <c r="T17" s="7"/>
      <c r="V17">
        <f t="shared" si="0"/>
        <v>0</v>
      </c>
    </row>
    <row r="18" spans="1:22" ht="22.05" customHeight="1" x14ac:dyDescent="0.3">
      <c r="A18" s="8"/>
      <c r="B18" s="8"/>
      <c r="C18" s="19">
        <v>15</v>
      </c>
      <c r="D18" s="114">
        <v>43265.625</v>
      </c>
      <c r="E18" s="131">
        <v>0</v>
      </c>
      <c r="F18" s="131">
        <v>0</v>
      </c>
      <c r="G18" s="131">
        <v>8</v>
      </c>
      <c r="H18" s="131">
        <v>8</v>
      </c>
      <c r="I18" s="131">
        <v>0</v>
      </c>
      <c r="J18" s="131">
        <v>0</v>
      </c>
      <c r="K18" s="131">
        <v>0</v>
      </c>
      <c r="L18" s="131">
        <v>0</v>
      </c>
      <c r="M18" s="6">
        <v>0</v>
      </c>
      <c r="N18" s="6">
        <v>0</v>
      </c>
      <c r="O18" s="56">
        <v>0</v>
      </c>
      <c r="P18" s="56">
        <v>0</v>
      </c>
      <c r="Q18" s="56">
        <v>0</v>
      </c>
      <c r="R18" s="56">
        <v>0</v>
      </c>
      <c r="S18" s="7">
        <v>0</v>
      </c>
      <c r="T18" s="7"/>
      <c r="V18">
        <f t="shared" si="0"/>
        <v>0</v>
      </c>
    </row>
    <row r="19" spans="1:22" ht="22.05" customHeight="1" x14ac:dyDescent="0.45">
      <c r="A19" s="157"/>
      <c r="B19" s="157"/>
      <c r="C19" s="19">
        <v>16</v>
      </c>
      <c r="D19" s="114">
        <v>43265.666666666664</v>
      </c>
      <c r="E19" s="131">
        <v>0</v>
      </c>
      <c r="F19" s="131">
        <v>0</v>
      </c>
      <c r="G19" s="131">
        <v>8</v>
      </c>
      <c r="H19" s="131">
        <v>8</v>
      </c>
      <c r="I19" s="131">
        <v>0</v>
      </c>
      <c r="J19" s="131">
        <v>0</v>
      </c>
      <c r="K19" s="131">
        <v>0</v>
      </c>
      <c r="L19" s="131">
        <v>0</v>
      </c>
      <c r="M19" s="6">
        <v>0</v>
      </c>
      <c r="N19" s="6">
        <v>0</v>
      </c>
      <c r="O19" s="56">
        <v>0</v>
      </c>
      <c r="P19" s="56">
        <v>0</v>
      </c>
      <c r="Q19" s="56">
        <v>0</v>
      </c>
      <c r="R19" s="56">
        <v>0</v>
      </c>
      <c r="S19" s="7">
        <v>0</v>
      </c>
      <c r="T19" s="7"/>
      <c r="V19">
        <f t="shared" si="0"/>
        <v>0</v>
      </c>
    </row>
    <row r="20" spans="1:22" ht="22.05" customHeight="1" x14ac:dyDescent="0.3">
      <c r="A20" s="9"/>
      <c r="B20" s="9"/>
      <c r="C20" s="19">
        <v>17</v>
      </c>
      <c r="D20" s="114">
        <v>43265.708333333336</v>
      </c>
      <c r="E20" s="131">
        <v>0</v>
      </c>
      <c r="F20" s="131">
        <v>0</v>
      </c>
      <c r="G20" s="131">
        <v>8</v>
      </c>
      <c r="H20" s="131">
        <v>8</v>
      </c>
      <c r="I20" s="131">
        <v>0</v>
      </c>
      <c r="J20" s="131">
        <v>0</v>
      </c>
      <c r="K20" s="131">
        <v>0</v>
      </c>
      <c r="L20" s="131">
        <v>0</v>
      </c>
      <c r="M20" s="6">
        <v>0</v>
      </c>
      <c r="N20" s="6">
        <v>0</v>
      </c>
      <c r="O20" s="56">
        <v>0</v>
      </c>
      <c r="P20" s="56">
        <v>0</v>
      </c>
      <c r="Q20" s="56">
        <v>0</v>
      </c>
      <c r="R20" s="56">
        <v>0</v>
      </c>
      <c r="S20" s="7">
        <v>0</v>
      </c>
      <c r="T20" s="7"/>
      <c r="V20">
        <f t="shared" si="0"/>
        <v>0</v>
      </c>
    </row>
    <row r="21" spans="1:22" ht="22.05" customHeight="1" x14ac:dyDescent="0.3">
      <c r="C21" s="19">
        <v>18</v>
      </c>
      <c r="D21" s="114">
        <v>43265.75</v>
      </c>
      <c r="E21" s="131">
        <v>0</v>
      </c>
      <c r="F21" s="131">
        <v>0</v>
      </c>
      <c r="G21" s="131">
        <v>8</v>
      </c>
      <c r="H21" s="131">
        <v>8</v>
      </c>
      <c r="I21" s="131">
        <v>0</v>
      </c>
      <c r="J21" s="131">
        <v>0</v>
      </c>
      <c r="K21" s="131">
        <v>0</v>
      </c>
      <c r="L21" s="131">
        <v>0</v>
      </c>
      <c r="M21" s="6">
        <v>0</v>
      </c>
      <c r="N21" s="6">
        <v>0</v>
      </c>
      <c r="O21" s="56">
        <v>0</v>
      </c>
      <c r="P21" s="56">
        <v>0</v>
      </c>
      <c r="Q21" s="56">
        <v>0</v>
      </c>
      <c r="R21" s="56">
        <v>0</v>
      </c>
      <c r="S21" s="7">
        <v>0</v>
      </c>
      <c r="T21" s="7"/>
      <c r="V21">
        <f t="shared" si="0"/>
        <v>0</v>
      </c>
    </row>
    <row r="22" spans="1:22" ht="22.05" customHeight="1" x14ac:dyDescent="0.3">
      <c r="C22" s="19">
        <v>19</v>
      </c>
      <c r="D22" s="114">
        <v>43265.791666666664</v>
      </c>
      <c r="E22" s="131">
        <v>0</v>
      </c>
      <c r="F22" s="131">
        <v>0</v>
      </c>
      <c r="G22" s="131">
        <v>8</v>
      </c>
      <c r="H22" s="131">
        <v>8</v>
      </c>
      <c r="I22" s="131">
        <v>0</v>
      </c>
      <c r="J22" s="131">
        <v>0</v>
      </c>
      <c r="K22" s="131">
        <v>0</v>
      </c>
      <c r="L22" s="131">
        <v>0</v>
      </c>
      <c r="M22" s="6">
        <v>0</v>
      </c>
      <c r="N22" s="6">
        <v>0</v>
      </c>
      <c r="O22" s="56">
        <v>0</v>
      </c>
      <c r="P22" s="56">
        <v>0</v>
      </c>
      <c r="Q22" s="56">
        <v>0</v>
      </c>
      <c r="R22" s="56">
        <v>0</v>
      </c>
      <c r="S22" s="7">
        <v>0</v>
      </c>
      <c r="T22" s="7"/>
      <c r="V22">
        <f t="shared" si="0"/>
        <v>0</v>
      </c>
    </row>
    <row r="23" spans="1:22" ht="22.05" customHeight="1" x14ac:dyDescent="0.3">
      <c r="C23" s="19">
        <v>20</v>
      </c>
      <c r="D23" s="114">
        <v>43265.833333333336</v>
      </c>
      <c r="E23" s="131">
        <v>0</v>
      </c>
      <c r="F23" s="131">
        <v>0</v>
      </c>
      <c r="G23" s="131">
        <v>8</v>
      </c>
      <c r="H23" s="131">
        <v>8</v>
      </c>
      <c r="I23" s="131">
        <v>0</v>
      </c>
      <c r="J23" s="131">
        <v>0</v>
      </c>
      <c r="K23" s="131">
        <v>0</v>
      </c>
      <c r="L23" s="131">
        <v>0</v>
      </c>
      <c r="M23" s="6">
        <v>0</v>
      </c>
      <c r="N23" s="6">
        <v>0</v>
      </c>
      <c r="O23" s="56">
        <v>0</v>
      </c>
      <c r="P23" s="56">
        <v>0</v>
      </c>
      <c r="Q23" s="56">
        <v>0</v>
      </c>
      <c r="R23" s="56">
        <v>0</v>
      </c>
      <c r="S23" s="7">
        <v>0</v>
      </c>
      <c r="T23" s="7"/>
      <c r="V23">
        <f t="shared" si="0"/>
        <v>0</v>
      </c>
    </row>
    <row r="24" spans="1:22" ht="22.05" customHeight="1" x14ac:dyDescent="0.3">
      <c r="C24" s="19">
        <v>21</v>
      </c>
      <c r="D24" s="114">
        <v>43265.875</v>
      </c>
      <c r="E24" s="131">
        <v>0</v>
      </c>
      <c r="F24" s="131">
        <v>6</v>
      </c>
      <c r="G24" s="131">
        <v>8</v>
      </c>
      <c r="H24" s="131">
        <v>8</v>
      </c>
      <c r="I24" s="131">
        <v>0</v>
      </c>
      <c r="J24" s="131">
        <v>0</v>
      </c>
      <c r="K24" s="131">
        <v>0</v>
      </c>
      <c r="L24" s="131">
        <v>0</v>
      </c>
      <c r="M24" s="6">
        <v>0</v>
      </c>
      <c r="N24" s="6">
        <v>0</v>
      </c>
      <c r="O24" s="56">
        <v>0</v>
      </c>
      <c r="P24" s="56">
        <v>0</v>
      </c>
      <c r="Q24" s="56">
        <v>0</v>
      </c>
      <c r="R24" s="56">
        <v>0</v>
      </c>
      <c r="S24" s="7">
        <v>0</v>
      </c>
      <c r="T24" s="7"/>
      <c r="V24">
        <f t="shared" si="0"/>
        <v>48</v>
      </c>
    </row>
    <row r="25" spans="1:22" ht="22.05" customHeight="1" x14ac:dyDescent="0.3">
      <c r="C25" s="19">
        <v>22</v>
      </c>
      <c r="D25" s="114">
        <v>43265.916666666664</v>
      </c>
      <c r="E25" s="131">
        <v>0</v>
      </c>
      <c r="F25" s="131">
        <v>6</v>
      </c>
      <c r="G25" s="131">
        <v>8</v>
      </c>
      <c r="H25" s="131">
        <v>8</v>
      </c>
      <c r="I25" s="131">
        <v>0</v>
      </c>
      <c r="J25" s="131">
        <v>0</v>
      </c>
      <c r="K25" s="131">
        <v>0</v>
      </c>
      <c r="L25" s="131">
        <v>0</v>
      </c>
      <c r="M25" s="6">
        <v>0</v>
      </c>
      <c r="N25" s="6">
        <v>0</v>
      </c>
      <c r="O25" s="56">
        <v>0</v>
      </c>
      <c r="P25" s="56">
        <v>0</v>
      </c>
      <c r="Q25" s="56">
        <v>0</v>
      </c>
      <c r="R25" s="56">
        <v>0</v>
      </c>
      <c r="S25" s="7">
        <v>0</v>
      </c>
      <c r="T25" s="7"/>
      <c r="V25">
        <f t="shared" si="0"/>
        <v>48</v>
      </c>
    </row>
    <row r="26" spans="1:22" ht="22.05" customHeight="1" x14ac:dyDescent="0.3">
      <c r="C26" s="19">
        <v>23</v>
      </c>
      <c r="D26" s="114">
        <v>43265.958333333336</v>
      </c>
      <c r="E26" s="131">
        <v>0</v>
      </c>
      <c r="F26" s="131">
        <v>0</v>
      </c>
      <c r="G26" s="131">
        <v>8</v>
      </c>
      <c r="H26" s="131">
        <v>8</v>
      </c>
      <c r="I26" s="131">
        <v>0</v>
      </c>
      <c r="J26" s="131">
        <v>0</v>
      </c>
      <c r="K26" s="131">
        <v>0</v>
      </c>
      <c r="L26" s="131">
        <v>0</v>
      </c>
      <c r="M26" s="6">
        <v>0</v>
      </c>
      <c r="N26" s="6">
        <v>0</v>
      </c>
      <c r="O26" s="56">
        <v>0</v>
      </c>
      <c r="P26" s="56">
        <v>0</v>
      </c>
      <c r="Q26" s="56">
        <v>0</v>
      </c>
      <c r="R26" s="56">
        <v>0</v>
      </c>
      <c r="S26" s="7">
        <v>0</v>
      </c>
      <c r="T26" s="7"/>
      <c r="V26">
        <f t="shared" si="0"/>
        <v>0</v>
      </c>
    </row>
    <row r="27" spans="1:22" ht="22.05" customHeight="1" x14ac:dyDescent="0.3">
      <c r="C27" s="19">
        <v>24</v>
      </c>
      <c r="D27" s="114">
        <v>43266</v>
      </c>
      <c r="E27" s="131">
        <v>0</v>
      </c>
      <c r="F27" s="131">
        <v>0</v>
      </c>
      <c r="G27" s="131">
        <v>8</v>
      </c>
      <c r="H27" s="131">
        <v>8</v>
      </c>
      <c r="I27" s="131">
        <v>0</v>
      </c>
      <c r="J27" s="131">
        <v>0</v>
      </c>
      <c r="K27" s="131">
        <v>0</v>
      </c>
      <c r="L27" s="131">
        <v>0</v>
      </c>
      <c r="M27" s="6">
        <v>0</v>
      </c>
      <c r="N27" s="6">
        <v>0</v>
      </c>
      <c r="O27" s="56">
        <v>0</v>
      </c>
      <c r="P27" s="56">
        <v>0</v>
      </c>
      <c r="Q27" s="56">
        <v>0</v>
      </c>
      <c r="R27" s="56">
        <v>0</v>
      </c>
      <c r="S27" s="7">
        <v>0</v>
      </c>
      <c r="T27" s="7"/>
      <c r="V27">
        <f t="shared" si="0"/>
        <v>0</v>
      </c>
    </row>
    <row r="28" spans="1:22" ht="22.05" customHeight="1" x14ac:dyDescent="0.3">
      <c r="C28" s="19"/>
      <c r="D28" s="130"/>
      <c r="E28" s="130"/>
      <c r="F28" s="130"/>
      <c r="G28" s="130"/>
      <c r="H28" s="130"/>
      <c r="I28" s="130"/>
      <c r="J28" s="130"/>
      <c r="K28" s="130"/>
      <c r="L28" s="130"/>
      <c r="M28" s="6"/>
      <c r="N28" s="6"/>
      <c r="O28" s="56"/>
      <c r="P28" s="56"/>
      <c r="Q28" s="56"/>
      <c r="R28" s="56"/>
      <c r="S28" s="7"/>
      <c r="T28" s="7"/>
      <c r="V28">
        <f>SUM(V4:V27)</f>
        <v>192</v>
      </c>
    </row>
    <row r="29" spans="1:22" ht="22.05" customHeight="1" x14ac:dyDescent="0.3">
      <c r="C29" s="19"/>
      <c r="D29" s="130"/>
      <c r="E29" s="130"/>
      <c r="F29" s="130"/>
      <c r="G29" s="130"/>
      <c r="H29" s="130"/>
      <c r="I29" s="130"/>
      <c r="J29" s="130"/>
      <c r="K29" s="130"/>
      <c r="L29" s="130"/>
      <c r="M29" s="6"/>
      <c r="N29" s="6"/>
      <c r="O29" s="56"/>
      <c r="P29" s="56"/>
      <c r="Q29" s="56"/>
      <c r="R29" s="56"/>
      <c r="S29" s="7"/>
      <c r="T29" s="7"/>
    </row>
    <row r="30" spans="1:22" ht="22.05" customHeight="1" x14ac:dyDescent="0.3">
      <c r="C30" s="19"/>
      <c r="D30" s="130"/>
      <c r="E30" s="130"/>
      <c r="F30" s="130"/>
      <c r="G30" s="130"/>
      <c r="H30" s="130"/>
      <c r="I30" s="130"/>
      <c r="J30" s="130"/>
      <c r="K30" s="130"/>
      <c r="L30" s="130"/>
      <c r="M30" s="6"/>
      <c r="N30" s="6"/>
      <c r="O30" s="56"/>
      <c r="P30" s="56"/>
      <c r="Q30" s="56"/>
      <c r="R30" s="56"/>
      <c r="S30" s="7"/>
      <c r="T30" s="7"/>
    </row>
    <row r="31" spans="1:22" ht="22.05" customHeight="1" x14ac:dyDescent="0.3">
      <c r="C31" s="19"/>
      <c r="D31" s="130"/>
      <c r="E31" s="130"/>
      <c r="F31" s="130"/>
      <c r="G31" s="130"/>
      <c r="H31" s="130"/>
      <c r="I31" s="130"/>
      <c r="J31" s="130"/>
      <c r="K31" s="130"/>
      <c r="L31" s="130"/>
      <c r="M31" s="6"/>
      <c r="N31" s="6"/>
      <c r="O31" s="56"/>
      <c r="P31" s="56"/>
      <c r="Q31" s="56"/>
      <c r="R31" s="56"/>
      <c r="S31" s="7"/>
      <c r="T31" s="7"/>
    </row>
    <row r="32" spans="1:22" ht="22.05" customHeight="1" x14ac:dyDescent="0.3">
      <c r="C32" s="19"/>
      <c r="D32" s="130"/>
      <c r="E32" s="130"/>
      <c r="F32" s="130"/>
      <c r="G32" s="130"/>
      <c r="H32" s="130"/>
      <c r="I32" s="130"/>
      <c r="J32" s="130"/>
      <c r="K32" s="130"/>
      <c r="L32" s="130"/>
      <c r="M32" s="6"/>
      <c r="N32" s="6"/>
      <c r="O32" s="56"/>
      <c r="P32" s="56"/>
      <c r="Q32" s="56"/>
      <c r="R32" s="56"/>
      <c r="S32" s="7"/>
      <c r="T32" s="7"/>
    </row>
    <row r="33" spans="3:20" ht="22.05" customHeight="1" x14ac:dyDescent="0.3">
      <c r="C33" s="19"/>
      <c r="D33" s="130"/>
      <c r="E33" s="130"/>
      <c r="F33" s="130"/>
      <c r="G33" s="130"/>
      <c r="H33" s="130"/>
      <c r="I33" s="130"/>
      <c r="J33" s="130"/>
      <c r="K33" s="130"/>
      <c r="L33" s="130"/>
      <c r="M33" s="6"/>
      <c r="N33" s="6"/>
      <c r="O33" s="56"/>
      <c r="P33" s="56"/>
      <c r="Q33" s="56"/>
      <c r="R33" s="56"/>
      <c r="S33" s="7"/>
      <c r="T33" s="7"/>
    </row>
    <row r="34" spans="3:20" ht="22.05" customHeight="1" x14ac:dyDescent="0.3">
      <c r="C34" s="19"/>
      <c r="D34" s="130"/>
      <c r="E34" s="130"/>
      <c r="F34" s="130"/>
      <c r="G34" s="130"/>
      <c r="H34" s="130"/>
      <c r="I34" s="130"/>
      <c r="J34" s="130"/>
      <c r="K34" s="130"/>
      <c r="L34" s="130"/>
      <c r="M34" s="6"/>
      <c r="N34" s="6"/>
      <c r="O34" s="56"/>
      <c r="P34" s="56"/>
      <c r="Q34" s="56"/>
      <c r="R34" s="56"/>
      <c r="S34" s="7"/>
      <c r="T34" s="7"/>
    </row>
    <row r="35" spans="3:20" ht="22.05" customHeight="1" x14ac:dyDescent="0.3">
      <c r="C35" s="19"/>
      <c r="D35" s="130"/>
      <c r="E35" s="130"/>
      <c r="F35" s="130"/>
      <c r="G35" s="130"/>
      <c r="H35" s="130"/>
      <c r="I35" s="130"/>
      <c r="J35" s="130"/>
      <c r="K35" s="130"/>
      <c r="L35" s="130"/>
      <c r="M35" s="6"/>
      <c r="N35" s="6"/>
      <c r="O35" s="56"/>
      <c r="P35" s="56"/>
      <c r="Q35" s="56"/>
      <c r="R35" s="56"/>
      <c r="S35" s="7"/>
      <c r="T35" s="7"/>
    </row>
    <row r="36" spans="3:20" ht="22.05" customHeight="1" x14ac:dyDescent="0.3">
      <c r="C36" s="19"/>
      <c r="D36" s="130"/>
      <c r="E36" s="130"/>
      <c r="F36" s="130"/>
      <c r="G36" s="130"/>
      <c r="H36" s="130"/>
      <c r="I36" s="130"/>
      <c r="J36" s="130"/>
      <c r="K36" s="130"/>
      <c r="L36" s="130"/>
      <c r="M36" s="6"/>
      <c r="N36" s="6"/>
      <c r="O36" s="56"/>
      <c r="P36" s="56"/>
      <c r="Q36" s="56"/>
      <c r="R36" s="56"/>
      <c r="S36" s="7"/>
      <c r="T36" s="7"/>
    </row>
    <row r="37" spans="3:20" ht="22.05" customHeight="1" x14ac:dyDescent="0.3">
      <c r="C37" s="19"/>
      <c r="D37" s="130"/>
      <c r="E37" s="130"/>
      <c r="F37" s="130"/>
      <c r="G37" s="130"/>
      <c r="H37" s="130"/>
      <c r="I37" s="130"/>
      <c r="J37" s="130"/>
      <c r="K37" s="130"/>
      <c r="L37" s="130"/>
      <c r="M37" s="6"/>
      <c r="N37" s="6"/>
      <c r="O37" s="56"/>
      <c r="P37" s="56"/>
      <c r="Q37" s="56"/>
      <c r="R37" s="56"/>
      <c r="S37" s="7"/>
      <c r="T37" s="7"/>
    </row>
    <row r="38" spans="3:20" ht="22.05" customHeight="1" x14ac:dyDescent="0.3">
      <c r="C38" s="19"/>
      <c r="D38" s="130"/>
      <c r="E38" s="130"/>
      <c r="F38" s="130"/>
      <c r="G38" s="130"/>
      <c r="H38" s="130"/>
      <c r="I38" s="130"/>
      <c r="J38" s="130"/>
      <c r="K38" s="130"/>
      <c r="L38" s="130"/>
      <c r="M38" s="6"/>
      <c r="N38" s="6"/>
      <c r="O38" s="56"/>
      <c r="P38" s="56"/>
      <c r="Q38" s="56"/>
      <c r="R38" s="56"/>
      <c r="S38" s="7"/>
      <c r="T38" s="7"/>
    </row>
    <row r="39" spans="3:20" ht="22.05" customHeight="1" x14ac:dyDescent="0.3">
      <c r="C39" s="19"/>
      <c r="D39" s="130"/>
      <c r="E39" s="130"/>
      <c r="F39" s="130"/>
      <c r="G39" s="130"/>
      <c r="H39" s="130"/>
      <c r="I39" s="130"/>
      <c r="J39" s="130"/>
      <c r="K39" s="130"/>
      <c r="L39" s="130"/>
      <c r="M39" s="6"/>
      <c r="N39" s="6"/>
      <c r="O39" s="56"/>
      <c r="P39" s="56"/>
      <c r="Q39" s="56"/>
      <c r="R39" s="56"/>
      <c r="S39" s="7"/>
      <c r="T39" s="7"/>
    </row>
    <row r="40" spans="3:20" ht="22.05" customHeight="1" x14ac:dyDescent="0.3">
      <c r="C40" s="19"/>
      <c r="D40" s="130"/>
      <c r="E40" s="130"/>
      <c r="F40" s="130"/>
      <c r="G40" s="130"/>
      <c r="H40" s="130"/>
      <c r="I40" s="130"/>
      <c r="J40" s="130"/>
      <c r="K40" s="130"/>
      <c r="L40" s="130"/>
      <c r="M40" s="6"/>
      <c r="N40" s="6"/>
      <c r="O40" s="56"/>
      <c r="P40" s="56"/>
      <c r="Q40" s="56"/>
      <c r="R40" s="56"/>
      <c r="S40" s="7"/>
      <c r="T40" s="7"/>
    </row>
    <row r="41" spans="3:20" ht="22.05" customHeight="1" x14ac:dyDescent="0.3">
      <c r="C41" s="19"/>
      <c r="D41" s="130"/>
      <c r="E41" s="130"/>
      <c r="F41" s="130"/>
      <c r="G41" s="130"/>
      <c r="H41" s="130"/>
      <c r="I41" s="130"/>
      <c r="J41" s="130"/>
      <c r="K41" s="130"/>
      <c r="L41" s="130"/>
      <c r="M41" s="6"/>
      <c r="N41" s="6"/>
      <c r="O41" s="56"/>
      <c r="P41" s="56"/>
      <c r="Q41" s="56"/>
      <c r="R41" s="56"/>
      <c r="S41" s="7"/>
      <c r="T41" s="7"/>
    </row>
    <row r="42" spans="3:20" ht="22.05" customHeight="1" x14ac:dyDescent="0.3">
      <c r="C42" s="19"/>
      <c r="D42" s="130"/>
      <c r="E42" s="130"/>
      <c r="F42" s="130"/>
      <c r="G42" s="130"/>
      <c r="H42" s="130"/>
      <c r="I42" s="130"/>
      <c r="J42" s="130"/>
      <c r="K42" s="130"/>
      <c r="L42" s="130"/>
      <c r="M42" s="6"/>
      <c r="N42" s="6"/>
      <c r="O42" s="56"/>
      <c r="P42" s="56"/>
      <c r="Q42" s="56"/>
      <c r="R42" s="56"/>
      <c r="S42" s="7"/>
      <c r="T42" s="7"/>
    </row>
    <row r="43" spans="3:20" ht="22.05" customHeight="1" x14ac:dyDescent="0.3">
      <c r="C43" s="19"/>
      <c r="D43" s="130"/>
      <c r="E43" s="130"/>
      <c r="F43" s="130"/>
      <c r="G43" s="130"/>
      <c r="H43" s="130"/>
      <c r="I43" s="130"/>
      <c r="J43" s="130"/>
      <c r="K43" s="130"/>
      <c r="L43" s="130"/>
      <c r="M43" s="6"/>
      <c r="N43" s="6"/>
      <c r="O43" s="56"/>
      <c r="P43" s="56"/>
      <c r="Q43" s="56"/>
      <c r="R43" s="56"/>
      <c r="S43" s="7"/>
      <c r="T43" s="7"/>
    </row>
    <row r="44" spans="3:20" ht="22.05" customHeight="1" x14ac:dyDescent="0.3">
      <c r="C44" s="19"/>
      <c r="D44" s="130"/>
      <c r="E44" s="130"/>
      <c r="F44" s="130"/>
      <c r="G44" s="130"/>
      <c r="H44" s="130"/>
      <c r="I44" s="130"/>
      <c r="J44" s="130"/>
      <c r="K44" s="130"/>
      <c r="L44" s="130"/>
      <c r="M44" s="6"/>
      <c r="N44" s="6"/>
      <c r="O44" s="56"/>
      <c r="P44" s="56"/>
      <c r="Q44" s="56"/>
      <c r="R44" s="56"/>
      <c r="S44" s="7"/>
      <c r="T44" s="7"/>
    </row>
    <row r="45" spans="3:20" ht="22.05" customHeight="1" x14ac:dyDescent="0.3">
      <c r="C45" s="19"/>
      <c r="D45" s="130"/>
      <c r="E45" s="130"/>
      <c r="F45" s="130"/>
      <c r="G45" s="130"/>
      <c r="H45" s="130"/>
      <c r="I45" s="130"/>
      <c r="J45" s="130"/>
      <c r="K45" s="130"/>
      <c r="L45" s="130"/>
      <c r="M45" s="6"/>
      <c r="N45" s="6"/>
      <c r="O45" s="56"/>
      <c r="P45" s="56"/>
      <c r="Q45" s="56"/>
      <c r="R45" s="56"/>
      <c r="S45" s="7"/>
      <c r="T45" s="7"/>
    </row>
    <row r="46" spans="3:20" ht="22.05" customHeight="1" x14ac:dyDescent="0.3">
      <c r="C46" s="19"/>
      <c r="D46" s="130"/>
      <c r="E46" s="130"/>
      <c r="F46" s="130"/>
      <c r="G46" s="130"/>
      <c r="H46" s="130"/>
      <c r="I46" s="130"/>
      <c r="J46" s="130"/>
      <c r="K46" s="130"/>
      <c r="L46" s="130"/>
      <c r="M46" s="6"/>
      <c r="N46" s="6"/>
      <c r="O46" s="56"/>
      <c r="P46" s="56"/>
      <c r="Q46" s="56"/>
      <c r="R46" s="56"/>
      <c r="S46" s="7"/>
      <c r="T46" s="7"/>
    </row>
    <row r="47" spans="3:20" ht="22.05" customHeight="1" x14ac:dyDescent="0.3">
      <c r="C47" s="19"/>
      <c r="D47" s="130"/>
      <c r="E47" s="130"/>
      <c r="F47" s="130"/>
      <c r="G47" s="130"/>
      <c r="H47" s="130"/>
      <c r="I47" s="130"/>
      <c r="J47" s="130"/>
      <c r="K47" s="130"/>
      <c r="L47" s="130"/>
      <c r="M47" s="6"/>
      <c r="N47" s="6"/>
      <c r="O47" s="56"/>
      <c r="P47" s="56"/>
      <c r="Q47" s="56"/>
      <c r="R47" s="56"/>
      <c r="S47" s="7"/>
      <c r="T47" s="7"/>
    </row>
    <row r="48" spans="3:20" ht="22.05" customHeight="1" x14ac:dyDescent="0.3">
      <c r="C48" s="19"/>
      <c r="D48" s="130"/>
      <c r="E48" s="130"/>
      <c r="F48" s="130"/>
      <c r="G48" s="130"/>
      <c r="H48" s="130"/>
      <c r="I48" s="130"/>
      <c r="J48" s="130"/>
      <c r="K48" s="130"/>
      <c r="L48" s="130"/>
      <c r="M48" s="6"/>
      <c r="N48" s="6"/>
      <c r="O48" s="56"/>
      <c r="P48" s="56"/>
      <c r="Q48" s="56"/>
      <c r="R48" s="56"/>
      <c r="S48" s="7"/>
      <c r="T48" s="7"/>
    </row>
    <row r="49" spans="3:20" ht="22.05" customHeight="1" x14ac:dyDescent="0.3">
      <c r="C49" s="19"/>
      <c r="D49" s="130"/>
      <c r="E49" s="130"/>
      <c r="F49" s="130"/>
      <c r="G49" s="130"/>
      <c r="H49" s="130"/>
      <c r="I49" s="130"/>
      <c r="J49" s="130"/>
      <c r="K49" s="130"/>
      <c r="L49" s="130"/>
      <c r="M49" s="6"/>
      <c r="N49" s="6"/>
      <c r="O49" s="56"/>
      <c r="P49" s="56"/>
      <c r="Q49" s="56"/>
      <c r="R49" s="56"/>
      <c r="S49" s="7"/>
      <c r="T49" s="7"/>
    </row>
    <row r="50" spans="3:20" ht="22.05" customHeight="1" x14ac:dyDescent="0.3">
      <c r="C50" s="19"/>
      <c r="D50" s="130"/>
      <c r="E50" s="130"/>
      <c r="F50" s="130"/>
      <c r="G50" s="130"/>
      <c r="H50" s="130"/>
      <c r="I50" s="130"/>
      <c r="J50" s="130"/>
      <c r="K50" s="130"/>
      <c r="L50" s="130"/>
      <c r="M50" s="6"/>
      <c r="N50" s="6"/>
      <c r="O50" s="56"/>
      <c r="P50" s="56"/>
      <c r="Q50" s="56"/>
      <c r="R50" s="56"/>
      <c r="S50" s="7"/>
      <c r="T50" s="7"/>
    </row>
    <row r="51" spans="3:20" ht="22.05" customHeight="1" x14ac:dyDescent="0.3">
      <c r="C51" s="19"/>
      <c r="D51" s="130"/>
      <c r="E51" s="130"/>
      <c r="F51" s="130"/>
      <c r="G51" s="130"/>
      <c r="H51" s="130"/>
      <c r="I51" s="130"/>
      <c r="J51" s="130"/>
      <c r="K51" s="130"/>
      <c r="L51" s="130"/>
      <c r="M51" s="6"/>
      <c r="N51" s="6"/>
      <c r="O51" s="56"/>
      <c r="P51" s="56"/>
      <c r="Q51" s="56"/>
      <c r="R51" s="56"/>
      <c r="S51" s="7"/>
      <c r="T51" s="7"/>
    </row>
    <row r="52" spans="3:20" ht="22.05" customHeight="1" x14ac:dyDescent="0.3">
      <c r="C52" s="19"/>
      <c r="D52" s="130"/>
      <c r="E52" s="130"/>
      <c r="F52" s="130"/>
      <c r="G52" s="130"/>
      <c r="H52" s="130"/>
      <c r="I52" s="130"/>
      <c r="J52" s="130"/>
      <c r="K52" s="130"/>
      <c r="L52" s="130"/>
      <c r="M52" s="6"/>
      <c r="N52" s="6"/>
      <c r="O52" s="56"/>
      <c r="P52" s="56"/>
      <c r="Q52" s="56"/>
      <c r="R52" s="56"/>
      <c r="S52" s="7"/>
      <c r="T52" s="7"/>
    </row>
    <row r="53" spans="3:20" ht="22.05" customHeight="1" x14ac:dyDescent="0.3">
      <c r="C53" s="19"/>
      <c r="D53" s="130"/>
      <c r="E53" s="130"/>
      <c r="F53" s="130"/>
      <c r="G53" s="130"/>
      <c r="H53" s="130"/>
      <c r="I53" s="130"/>
      <c r="J53" s="130"/>
      <c r="K53" s="130"/>
      <c r="L53" s="130"/>
      <c r="M53" s="6"/>
      <c r="N53" s="6"/>
      <c r="O53" s="56"/>
      <c r="P53" s="56"/>
      <c r="Q53" s="56"/>
      <c r="R53" s="56"/>
      <c r="S53" s="7"/>
      <c r="T53" s="7"/>
    </row>
    <row r="54" spans="3:20" ht="22.05" customHeight="1" x14ac:dyDescent="0.3">
      <c r="C54" s="19"/>
      <c r="D54" s="130"/>
      <c r="E54" s="130"/>
      <c r="F54" s="130"/>
      <c r="G54" s="130"/>
      <c r="H54" s="130"/>
      <c r="I54" s="130"/>
      <c r="J54" s="130"/>
      <c r="K54" s="130"/>
      <c r="L54" s="130"/>
      <c r="M54" s="6"/>
      <c r="N54" s="6"/>
      <c r="O54" s="56"/>
      <c r="P54" s="56"/>
      <c r="Q54" s="56"/>
      <c r="R54" s="56"/>
      <c r="S54" s="7"/>
      <c r="T54" s="7"/>
    </row>
    <row r="55" spans="3:20" ht="22.05" customHeight="1" x14ac:dyDescent="0.3">
      <c r="C55" s="19"/>
      <c r="D55" s="130"/>
      <c r="E55" s="130"/>
      <c r="F55" s="130"/>
      <c r="G55" s="130"/>
      <c r="H55" s="130"/>
      <c r="I55" s="130"/>
      <c r="J55" s="130"/>
      <c r="K55" s="130"/>
      <c r="L55" s="130"/>
      <c r="M55" s="6"/>
      <c r="N55" s="6"/>
      <c r="O55" s="56"/>
      <c r="P55" s="56"/>
      <c r="Q55" s="56"/>
      <c r="R55" s="56"/>
      <c r="S55" s="7"/>
      <c r="T55" s="7"/>
    </row>
    <row r="56" spans="3:20" ht="22.05" customHeight="1" x14ac:dyDescent="0.3">
      <c r="C56" s="19"/>
      <c r="D56" s="130"/>
      <c r="E56" s="130"/>
      <c r="F56" s="130"/>
      <c r="G56" s="130"/>
      <c r="H56" s="130"/>
      <c r="I56" s="130"/>
      <c r="J56" s="130"/>
      <c r="K56" s="130"/>
      <c r="L56" s="130"/>
      <c r="M56" s="6"/>
      <c r="N56" s="6"/>
      <c r="O56" s="56"/>
      <c r="P56" s="56"/>
      <c r="Q56" s="56"/>
      <c r="R56" s="56"/>
      <c r="S56" s="7"/>
      <c r="T56" s="7"/>
    </row>
    <row r="57" spans="3:20" ht="22.05" customHeight="1" x14ac:dyDescent="0.3">
      <c r="C57" s="19"/>
      <c r="D57" s="130"/>
      <c r="E57" s="130"/>
      <c r="F57" s="130"/>
      <c r="G57" s="130"/>
      <c r="H57" s="130"/>
      <c r="I57" s="130"/>
      <c r="J57" s="130"/>
      <c r="K57" s="130"/>
      <c r="L57" s="130"/>
      <c r="M57" s="6"/>
      <c r="N57" s="6"/>
      <c r="O57" s="56"/>
      <c r="P57" s="56"/>
      <c r="Q57" s="56"/>
      <c r="R57" s="56"/>
      <c r="S57" s="7"/>
      <c r="T57" s="7"/>
    </row>
    <row r="58" spans="3:20" ht="22.05" customHeight="1" x14ac:dyDescent="0.3">
      <c r="C58" s="19"/>
      <c r="D58" s="130"/>
      <c r="E58" s="130"/>
      <c r="F58" s="130"/>
      <c r="G58" s="130"/>
      <c r="H58" s="130"/>
      <c r="I58" s="130"/>
      <c r="J58" s="130"/>
      <c r="K58" s="130"/>
      <c r="L58" s="130"/>
      <c r="M58" s="6"/>
      <c r="N58" s="6"/>
      <c r="O58" s="56"/>
      <c r="P58" s="56"/>
      <c r="Q58" s="56"/>
      <c r="R58" s="56"/>
      <c r="S58" s="7"/>
      <c r="T58" s="7"/>
    </row>
    <row r="59" spans="3:20" ht="22.05" customHeight="1" x14ac:dyDescent="0.3">
      <c r="C59" s="19"/>
      <c r="D59" s="130"/>
      <c r="E59" s="130"/>
      <c r="F59" s="130"/>
      <c r="G59" s="130"/>
      <c r="H59" s="130"/>
      <c r="I59" s="130"/>
      <c r="J59" s="130"/>
      <c r="K59" s="130"/>
      <c r="L59" s="130"/>
      <c r="M59" s="6"/>
      <c r="N59" s="6"/>
      <c r="O59" s="56"/>
      <c r="P59" s="56"/>
      <c r="Q59" s="56"/>
      <c r="R59" s="56"/>
      <c r="S59" s="7"/>
      <c r="T59" s="7"/>
    </row>
    <row r="60" spans="3:20" ht="22.05" customHeight="1" x14ac:dyDescent="0.3">
      <c r="C60" s="19"/>
      <c r="D60" s="130"/>
      <c r="E60" s="130"/>
      <c r="F60" s="130"/>
      <c r="G60" s="130"/>
      <c r="H60" s="130"/>
      <c r="I60" s="130"/>
      <c r="J60" s="130"/>
      <c r="K60" s="130"/>
      <c r="L60" s="130"/>
      <c r="M60" s="6"/>
      <c r="N60" s="6"/>
      <c r="O60" s="56"/>
      <c r="P60" s="56"/>
      <c r="Q60" s="56"/>
      <c r="R60" s="56"/>
      <c r="S60" s="7"/>
      <c r="T60" s="7"/>
    </row>
    <row r="61" spans="3:20" ht="22.05" customHeight="1" x14ac:dyDescent="0.3">
      <c r="C61" s="19"/>
      <c r="D61" s="130"/>
      <c r="E61" s="130"/>
      <c r="F61" s="130"/>
      <c r="G61" s="130"/>
      <c r="H61" s="130"/>
      <c r="I61" s="130"/>
      <c r="J61" s="130"/>
      <c r="K61" s="130"/>
      <c r="L61" s="130"/>
      <c r="M61" s="6"/>
      <c r="N61" s="6"/>
      <c r="O61" s="56"/>
      <c r="P61" s="56"/>
      <c r="Q61" s="56"/>
      <c r="R61" s="56"/>
      <c r="S61" s="7"/>
      <c r="T61" s="7"/>
    </row>
    <row r="62" spans="3:20" ht="22.05" customHeight="1" x14ac:dyDescent="0.3">
      <c r="C62" s="19"/>
      <c r="D62" s="130"/>
      <c r="E62" s="130"/>
      <c r="F62" s="130"/>
      <c r="G62" s="130"/>
      <c r="H62" s="130"/>
      <c r="I62" s="130"/>
      <c r="J62" s="130"/>
      <c r="K62" s="130"/>
      <c r="L62" s="130"/>
      <c r="M62" s="6"/>
      <c r="N62" s="6"/>
      <c r="O62" s="56"/>
      <c r="P62" s="56"/>
      <c r="Q62" s="56"/>
      <c r="R62" s="56"/>
      <c r="S62" s="7"/>
      <c r="T62" s="7"/>
    </row>
    <row r="63" spans="3:20" ht="22.05" customHeight="1" x14ac:dyDescent="0.3">
      <c r="C63" s="19"/>
      <c r="D63" s="130"/>
      <c r="E63" s="130"/>
      <c r="F63" s="130"/>
      <c r="G63" s="130"/>
      <c r="H63" s="130"/>
      <c r="I63" s="130"/>
      <c r="J63" s="130"/>
      <c r="K63" s="130"/>
      <c r="L63" s="130"/>
      <c r="M63" s="6"/>
      <c r="N63" s="6"/>
      <c r="O63" s="56"/>
      <c r="P63" s="56"/>
      <c r="Q63" s="56"/>
      <c r="R63" s="56"/>
      <c r="S63" s="7"/>
      <c r="T63" s="7"/>
    </row>
    <row r="64" spans="3:20" ht="22.05" customHeight="1" x14ac:dyDescent="0.3">
      <c r="C64" s="19"/>
      <c r="D64" s="130"/>
      <c r="E64" s="130"/>
      <c r="F64" s="130"/>
      <c r="G64" s="130"/>
      <c r="H64" s="130"/>
      <c r="I64" s="130"/>
      <c r="J64" s="130"/>
      <c r="K64" s="130"/>
      <c r="L64" s="130"/>
      <c r="M64" s="6"/>
      <c r="N64" s="6"/>
      <c r="O64" s="56"/>
      <c r="P64" s="56"/>
      <c r="Q64" s="56"/>
      <c r="R64" s="56"/>
      <c r="S64" s="7"/>
      <c r="T64" s="7"/>
    </row>
    <row r="65" spans="3:20" ht="22.05" customHeight="1" x14ac:dyDescent="0.3">
      <c r="C65" s="19"/>
      <c r="D65" s="130"/>
      <c r="E65" s="130"/>
      <c r="F65" s="130"/>
      <c r="G65" s="130"/>
      <c r="H65" s="130"/>
      <c r="I65" s="130"/>
      <c r="J65" s="130"/>
      <c r="K65" s="130"/>
      <c r="L65" s="130"/>
      <c r="M65" s="6"/>
      <c r="N65" s="6"/>
      <c r="O65" s="56"/>
      <c r="P65" s="56"/>
      <c r="Q65" s="56"/>
      <c r="R65" s="56"/>
      <c r="S65" s="7"/>
      <c r="T65" s="7"/>
    </row>
    <row r="66" spans="3:20" ht="22.05" customHeight="1" x14ac:dyDescent="0.3">
      <c r="C66" s="19"/>
      <c r="D66" s="130"/>
      <c r="E66" s="130"/>
      <c r="F66" s="130"/>
      <c r="G66" s="130"/>
      <c r="H66" s="130"/>
      <c r="I66" s="130"/>
      <c r="J66" s="130"/>
      <c r="K66" s="130"/>
      <c r="L66" s="130"/>
      <c r="M66" s="6"/>
      <c r="N66" s="6"/>
      <c r="O66" s="56"/>
      <c r="P66" s="56"/>
      <c r="Q66" s="56"/>
      <c r="R66" s="56"/>
      <c r="S66" s="7"/>
      <c r="T66" s="7"/>
    </row>
    <row r="67" spans="3:20" ht="22.05" customHeight="1" x14ac:dyDescent="0.3">
      <c r="C67" s="19"/>
      <c r="D67" s="130"/>
      <c r="E67" s="130"/>
      <c r="F67" s="130"/>
      <c r="G67" s="130"/>
      <c r="H67" s="130"/>
      <c r="I67" s="130"/>
      <c r="J67" s="130"/>
      <c r="K67" s="130"/>
      <c r="L67" s="130"/>
      <c r="M67" s="6"/>
      <c r="N67" s="6"/>
      <c r="O67" s="56"/>
      <c r="P67" s="56"/>
      <c r="Q67" s="56"/>
      <c r="R67" s="56"/>
      <c r="S67" s="7"/>
      <c r="T67" s="7"/>
    </row>
    <row r="68" spans="3:20" ht="22.05" customHeight="1" x14ac:dyDescent="0.3">
      <c r="C68" s="19"/>
      <c r="D68" s="130"/>
      <c r="E68" s="130"/>
      <c r="F68" s="130"/>
      <c r="G68" s="130"/>
      <c r="H68" s="130"/>
      <c r="I68" s="130"/>
      <c r="J68" s="130"/>
      <c r="K68" s="130"/>
      <c r="L68" s="130"/>
      <c r="M68" s="6"/>
      <c r="N68" s="6"/>
      <c r="O68" s="56"/>
      <c r="P68" s="56"/>
      <c r="Q68" s="56"/>
      <c r="R68" s="56"/>
      <c r="S68" s="7"/>
      <c r="T68" s="7"/>
    </row>
    <row r="69" spans="3:20" ht="22.05" customHeight="1" x14ac:dyDescent="0.3">
      <c r="C69" s="19"/>
      <c r="D69" s="130"/>
      <c r="E69" s="130"/>
      <c r="F69" s="130"/>
      <c r="G69" s="130"/>
      <c r="H69" s="130"/>
      <c r="I69" s="130"/>
      <c r="J69" s="130"/>
      <c r="K69" s="130"/>
      <c r="L69" s="130"/>
      <c r="M69" s="6"/>
      <c r="N69" s="6"/>
      <c r="O69" s="56"/>
      <c r="P69" s="56"/>
      <c r="Q69" s="56"/>
      <c r="R69" s="56"/>
      <c r="S69" s="7"/>
      <c r="T69" s="7"/>
    </row>
    <row r="70" spans="3:20" ht="22.05" customHeight="1" x14ac:dyDescent="0.3">
      <c r="C70" s="19"/>
      <c r="D70" s="130"/>
      <c r="E70" s="130"/>
      <c r="F70" s="130"/>
      <c r="G70" s="130"/>
      <c r="H70" s="130"/>
      <c r="I70" s="130"/>
      <c r="J70" s="130"/>
      <c r="K70" s="130"/>
      <c r="L70" s="130"/>
      <c r="M70" s="6"/>
      <c r="N70" s="6"/>
      <c r="O70" s="56"/>
      <c r="P70" s="56"/>
      <c r="Q70" s="56"/>
      <c r="R70" s="56"/>
      <c r="S70" s="7"/>
      <c r="T70" s="7"/>
    </row>
    <row r="71" spans="3:20" ht="22.05" customHeight="1" x14ac:dyDescent="0.3">
      <c r="C71" s="19"/>
      <c r="D71" s="130"/>
      <c r="E71" s="130"/>
      <c r="F71" s="130"/>
      <c r="G71" s="130"/>
      <c r="H71" s="130"/>
      <c r="I71" s="130"/>
      <c r="J71" s="130"/>
      <c r="K71" s="130"/>
      <c r="L71" s="130"/>
      <c r="M71" s="6"/>
      <c r="N71" s="6"/>
      <c r="O71" s="56"/>
      <c r="P71" s="56"/>
      <c r="Q71" s="56"/>
      <c r="R71" s="56"/>
      <c r="S71" s="7"/>
      <c r="T71" s="7"/>
    </row>
    <row r="72" spans="3:20" ht="22.05" customHeight="1" x14ac:dyDescent="0.3">
      <c r="C72" s="19"/>
      <c r="D72" s="130"/>
      <c r="E72" s="130"/>
      <c r="F72" s="130"/>
      <c r="G72" s="130"/>
      <c r="H72" s="130"/>
      <c r="I72" s="130"/>
      <c r="J72" s="130"/>
      <c r="K72" s="130"/>
      <c r="L72" s="130"/>
      <c r="M72" s="6"/>
      <c r="N72" s="6"/>
      <c r="O72" s="56"/>
      <c r="P72" s="56"/>
      <c r="Q72" s="56"/>
      <c r="R72" s="56"/>
      <c r="S72" s="7"/>
      <c r="T72" s="7"/>
    </row>
    <row r="73" spans="3:20" ht="22.05" customHeight="1" x14ac:dyDescent="0.3">
      <c r="C73" s="19"/>
      <c r="D73" s="130"/>
      <c r="E73" s="130"/>
      <c r="F73" s="130"/>
      <c r="G73" s="130"/>
      <c r="H73" s="130"/>
      <c r="I73" s="130"/>
      <c r="J73" s="130"/>
      <c r="K73" s="130"/>
      <c r="L73" s="130"/>
      <c r="M73" s="6"/>
      <c r="N73" s="6"/>
      <c r="O73" s="56"/>
      <c r="P73" s="56"/>
      <c r="Q73" s="56"/>
      <c r="R73" s="56"/>
      <c r="S73" s="7"/>
      <c r="T73" s="7"/>
    </row>
    <row r="74" spans="3:20" ht="22.05" customHeight="1" x14ac:dyDescent="0.3">
      <c r="C74" s="19"/>
      <c r="D74" s="130"/>
      <c r="E74" s="130"/>
      <c r="F74" s="130"/>
      <c r="G74" s="130"/>
      <c r="H74" s="130"/>
      <c r="I74" s="130"/>
      <c r="J74" s="130"/>
      <c r="K74" s="130"/>
      <c r="L74" s="130"/>
      <c r="M74" s="6"/>
      <c r="N74" s="6"/>
      <c r="O74" s="56"/>
      <c r="P74" s="56"/>
      <c r="Q74" s="56"/>
      <c r="R74" s="56"/>
      <c r="S74" s="7"/>
      <c r="T74" s="7"/>
    </row>
    <row r="75" spans="3:20" ht="22.05" customHeight="1" x14ac:dyDescent="0.3">
      <c r="C75" s="19"/>
      <c r="D75" s="130"/>
      <c r="E75" s="130"/>
      <c r="F75" s="130"/>
      <c r="G75" s="130"/>
      <c r="H75" s="130"/>
      <c r="I75" s="130"/>
      <c r="J75" s="130"/>
      <c r="K75" s="130"/>
      <c r="L75" s="130"/>
      <c r="M75" s="6"/>
      <c r="N75" s="6"/>
      <c r="O75" s="56"/>
      <c r="P75" s="56"/>
      <c r="Q75" s="56"/>
      <c r="R75" s="56"/>
      <c r="S75" s="7"/>
      <c r="T75" s="7"/>
    </row>
    <row r="76" spans="3:20" ht="22.05" customHeight="1" x14ac:dyDescent="0.3">
      <c r="C76" s="19"/>
      <c r="D76" s="130"/>
      <c r="E76" s="130"/>
      <c r="F76" s="130"/>
      <c r="G76" s="130"/>
      <c r="H76" s="130"/>
      <c r="I76" s="130"/>
      <c r="J76" s="130"/>
      <c r="K76" s="130"/>
      <c r="L76" s="130"/>
      <c r="M76" s="6"/>
      <c r="N76" s="6"/>
      <c r="O76" s="56"/>
      <c r="P76" s="56"/>
      <c r="Q76" s="56"/>
      <c r="R76" s="56"/>
      <c r="S76" s="7"/>
      <c r="T76" s="7"/>
    </row>
    <row r="77" spans="3:20" ht="22.05" customHeight="1" x14ac:dyDescent="0.3">
      <c r="C77" s="19"/>
      <c r="D77" s="130"/>
      <c r="E77" s="130"/>
      <c r="F77" s="130"/>
      <c r="G77" s="130"/>
      <c r="H77" s="130"/>
      <c r="I77" s="130"/>
      <c r="J77" s="130"/>
      <c r="K77" s="130"/>
      <c r="L77" s="130"/>
      <c r="M77" s="6"/>
      <c r="N77" s="6"/>
      <c r="O77" s="56"/>
      <c r="P77" s="56"/>
      <c r="Q77" s="56"/>
      <c r="R77" s="56"/>
      <c r="S77" s="7"/>
      <c r="T77" s="7"/>
    </row>
    <row r="78" spans="3:20" ht="22.05" customHeight="1" x14ac:dyDescent="0.3">
      <c r="C78" s="19"/>
      <c r="D78" s="130"/>
      <c r="E78" s="130"/>
      <c r="F78" s="130"/>
      <c r="G78" s="130"/>
      <c r="H78" s="130"/>
      <c r="I78" s="130"/>
      <c r="J78" s="130"/>
      <c r="K78" s="130"/>
      <c r="L78" s="130"/>
      <c r="M78" s="6"/>
      <c r="N78" s="6"/>
      <c r="O78" s="56"/>
      <c r="P78" s="56"/>
      <c r="Q78" s="56"/>
      <c r="R78" s="56"/>
      <c r="S78" s="7"/>
      <c r="T78" s="7"/>
    </row>
    <row r="79" spans="3:20" ht="22.05" customHeight="1" x14ac:dyDescent="0.3">
      <c r="C79" s="19"/>
      <c r="D79" s="130"/>
      <c r="E79" s="130"/>
      <c r="F79" s="130"/>
      <c r="G79" s="130"/>
      <c r="H79" s="130"/>
      <c r="I79" s="130"/>
      <c r="J79" s="130"/>
      <c r="K79" s="130"/>
      <c r="L79" s="130"/>
      <c r="M79" s="6"/>
      <c r="N79" s="6"/>
      <c r="O79" s="56"/>
      <c r="P79" s="56"/>
      <c r="Q79" s="56"/>
      <c r="R79" s="56"/>
      <c r="S79" s="7"/>
      <c r="T79" s="7"/>
    </row>
    <row r="80" spans="3:20" ht="22.05" customHeight="1" x14ac:dyDescent="0.3">
      <c r="C80" s="19"/>
      <c r="D80" s="130"/>
      <c r="E80" s="130"/>
      <c r="F80" s="130"/>
      <c r="G80" s="130"/>
      <c r="H80" s="130"/>
      <c r="I80" s="130"/>
      <c r="J80" s="130"/>
      <c r="K80" s="130"/>
      <c r="L80" s="130"/>
      <c r="M80" s="6"/>
      <c r="N80" s="6"/>
      <c r="O80" s="56"/>
      <c r="P80" s="56"/>
      <c r="Q80" s="56"/>
      <c r="R80" s="56"/>
      <c r="S80" s="7"/>
      <c r="T80" s="7"/>
    </row>
    <row r="81" spans="3:20" ht="22.05" customHeight="1" x14ac:dyDescent="0.3">
      <c r="C81" s="19"/>
      <c r="D81" s="130"/>
      <c r="E81" s="130"/>
      <c r="F81" s="130"/>
      <c r="G81" s="130"/>
      <c r="H81" s="130"/>
      <c r="I81" s="130"/>
      <c r="J81" s="130"/>
      <c r="K81" s="130"/>
      <c r="L81" s="130"/>
      <c r="M81" s="6"/>
      <c r="N81" s="6"/>
      <c r="O81" s="56"/>
      <c r="P81" s="56"/>
      <c r="Q81" s="56"/>
      <c r="R81" s="56"/>
      <c r="S81" s="7"/>
      <c r="T81" s="7"/>
    </row>
    <row r="82" spans="3:20" ht="22.05" customHeight="1" x14ac:dyDescent="0.3">
      <c r="C82" s="19"/>
      <c r="D82" s="130"/>
      <c r="E82" s="130"/>
      <c r="F82" s="130"/>
      <c r="G82" s="130"/>
      <c r="H82" s="130"/>
      <c r="I82" s="130"/>
      <c r="J82" s="130"/>
      <c r="K82" s="130"/>
      <c r="L82" s="130"/>
      <c r="M82" s="6"/>
      <c r="N82" s="6"/>
      <c r="O82" s="56"/>
      <c r="P82" s="56"/>
      <c r="Q82" s="56"/>
      <c r="R82" s="56"/>
      <c r="S82" s="7"/>
      <c r="T82" s="7"/>
    </row>
    <row r="83" spans="3:20" ht="22.05" customHeight="1" x14ac:dyDescent="0.3">
      <c r="C83" s="19"/>
      <c r="D83" s="130"/>
      <c r="E83" s="130"/>
      <c r="F83" s="130"/>
      <c r="G83" s="130"/>
      <c r="H83" s="130"/>
      <c r="I83" s="130"/>
      <c r="J83" s="130"/>
      <c r="K83" s="130"/>
      <c r="L83" s="130"/>
      <c r="M83" s="6"/>
      <c r="N83" s="6"/>
      <c r="O83" s="56"/>
      <c r="P83" s="56"/>
      <c r="Q83" s="56"/>
      <c r="R83" s="56"/>
      <c r="S83" s="7"/>
      <c r="T83" s="7"/>
    </row>
    <row r="84" spans="3:20" ht="22.05" customHeight="1" x14ac:dyDescent="0.3">
      <c r="C84" s="19"/>
      <c r="D84" s="130"/>
      <c r="E84" s="130"/>
      <c r="F84" s="130"/>
      <c r="G84" s="130"/>
      <c r="H84" s="130"/>
      <c r="I84" s="130"/>
      <c r="J84" s="130"/>
      <c r="K84" s="130"/>
      <c r="L84" s="130"/>
      <c r="M84" s="6"/>
      <c r="N84" s="6"/>
      <c r="O84" s="56"/>
      <c r="P84" s="56"/>
      <c r="Q84" s="56"/>
      <c r="R84" s="56"/>
      <c r="S84" s="7"/>
      <c r="T84" s="7"/>
    </row>
    <row r="85" spans="3:20" ht="22.05" customHeight="1" x14ac:dyDescent="0.3">
      <c r="C85" s="19"/>
      <c r="D85" s="130"/>
      <c r="E85" s="130"/>
      <c r="F85" s="130"/>
      <c r="G85" s="130"/>
      <c r="H85" s="130"/>
      <c r="I85" s="130"/>
      <c r="J85" s="130"/>
      <c r="K85" s="130"/>
      <c r="L85" s="130"/>
      <c r="M85" s="6"/>
      <c r="N85" s="6"/>
      <c r="O85" s="56"/>
      <c r="P85" s="56"/>
      <c r="Q85" s="56"/>
      <c r="R85" s="56"/>
      <c r="S85" s="7"/>
      <c r="T85" s="7"/>
    </row>
    <row r="86" spans="3:20" ht="22.05" customHeight="1" x14ac:dyDescent="0.3">
      <c r="C86" s="19"/>
      <c r="D86" s="130"/>
      <c r="E86" s="130"/>
      <c r="F86" s="130"/>
      <c r="G86" s="130"/>
      <c r="H86" s="130"/>
      <c r="I86" s="130"/>
      <c r="J86" s="130"/>
      <c r="K86" s="130"/>
      <c r="L86" s="130"/>
      <c r="M86" s="6"/>
      <c r="N86" s="6"/>
      <c r="O86" s="56"/>
      <c r="P86" s="56"/>
      <c r="Q86" s="56"/>
      <c r="R86" s="56"/>
      <c r="S86" s="7"/>
      <c r="T86" s="7"/>
    </row>
    <row r="87" spans="3:20" ht="22.05" customHeight="1" x14ac:dyDescent="0.3">
      <c r="C87" s="19"/>
      <c r="D87" s="130"/>
      <c r="E87" s="130"/>
      <c r="F87" s="130"/>
      <c r="G87" s="130"/>
      <c r="H87" s="130"/>
      <c r="I87" s="130"/>
      <c r="J87" s="130"/>
      <c r="K87" s="130"/>
      <c r="L87" s="130"/>
      <c r="M87" s="6"/>
      <c r="N87" s="6"/>
      <c r="O87" s="56"/>
      <c r="P87" s="56"/>
      <c r="Q87" s="56"/>
      <c r="R87" s="56"/>
      <c r="S87" s="7"/>
      <c r="T87" s="7"/>
    </row>
    <row r="88" spans="3:20" ht="22.05" customHeight="1" x14ac:dyDescent="0.3">
      <c r="C88" s="19"/>
      <c r="D88" s="130"/>
      <c r="E88" s="130"/>
      <c r="F88" s="130"/>
      <c r="G88" s="130"/>
      <c r="H88" s="130"/>
      <c r="I88" s="130"/>
      <c r="J88" s="130"/>
      <c r="K88" s="130"/>
      <c r="L88" s="130"/>
      <c r="M88" s="6"/>
      <c r="N88" s="6"/>
      <c r="O88" s="56"/>
      <c r="P88" s="56"/>
      <c r="Q88" s="56"/>
      <c r="R88" s="56"/>
      <c r="S88" s="7"/>
      <c r="T88" s="7"/>
    </row>
    <row r="89" spans="3:20" ht="22.05" customHeight="1" x14ac:dyDescent="0.3">
      <c r="C89" s="19"/>
      <c r="D89" s="130"/>
      <c r="E89" s="130"/>
      <c r="F89" s="130"/>
      <c r="G89" s="130"/>
      <c r="H89" s="130"/>
      <c r="I89" s="130"/>
      <c r="J89" s="130"/>
      <c r="K89" s="130"/>
      <c r="L89" s="130"/>
      <c r="M89" s="6"/>
      <c r="N89" s="6"/>
      <c r="O89" s="56"/>
      <c r="P89" s="56"/>
      <c r="Q89" s="56"/>
      <c r="R89" s="56"/>
      <c r="S89" s="7"/>
      <c r="T89" s="7"/>
    </row>
    <row r="90" spans="3:20" ht="22.05" customHeight="1" x14ac:dyDescent="0.3">
      <c r="C90" s="19"/>
      <c r="D90" s="130"/>
      <c r="E90" s="130"/>
      <c r="F90" s="130"/>
      <c r="G90" s="130"/>
      <c r="H90" s="130"/>
      <c r="I90" s="130"/>
      <c r="J90" s="130"/>
      <c r="K90" s="130"/>
      <c r="L90" s="130"/>
      <c r="M90" s="6"/>
      <c r="N90" s="6"/>
      <c r="O90" s="56"/>
      <c r="P90" s="56"/>
      <c r="Q90" s="56"/>
      <c r="R90" s="56"/>
      <c r="S90" s="7"/>
      <c r="T90" s="7"/>
    </row>
    <row r="91" spans="3:20" ht="22.05" customHeight="1" x14ac:dyDescent="0.3">
      <c r="C91" s="19"/>
      <c r="D91" s="130"/>
      <c r="E91" s="130"/>
      <c r="F91" s="130"/>
      <c r="G91" s="130"/>
      <c r="H91" s="130"/>
      <c r="I91" s="130"/>
      <c r="J91" s="130"/>
      <c r="K91" s="130"/>
      <c r="L91" s="130"/>
      <c r="M91" s="6"/>
      <c r="N91" s="6"/>
      <c r="O91" s="56"/>
      <c r="P91" s="56"/>
      <c r="Q91" s="56"/>
      <c r="R91" s="56"/>
      <c r="S91" s="7"/>
      <c r="T91" s="7"/>
    </row>
    <row r="92" spans="3:20" ht="22.05" customHeight="1" x14ac:dyDescent="0.3">
      <c r="C92" s="19"/>
      <c r="D92" s="130"/>
      <c r="E92" s="130"/>
      <c r="F92" s="130"/>
      <c r="G92" s="130"/>
      <c r="H92" s="130"/>
      <c r="I92" s="130"/>
      <c r="J92" s="130"/>
      <c r="K92" s="130"/>
      <c r="L92" s="130"/>
      <c r="M92" s="6"/>
      <c r="N92" s="6"/>
      <c r="O92" s="56"/>
      <c r="P92" s="56"/>
      <c r="Q92" s="56"/>
      <c r="R92" s="56"/>
      <c r="S92" s="7"/>
      <c r="T92" s="7"/>
    </row>
    <row r="93" spans="3:20" ht="22.05" customHeight="1" x14ac:dyDescent="0.3">
      <c r="C93" s="19"/>
      <c r="D93" s="130"/>
      <c r="E93" s="130"/>
      <c r="F93" s="130"/>
      <c r="G93" s="130"/>
      <c r="H93" s="130"/>
      <c r="I93" s="130"/>
      <c r="J93" s="130"/>
      <c r="K93" s="130"/>
      <c r="L93" s="130"/>
      <c r="M93" s="6"/>
      <c r="N93" s="6"/>
      <c r="O93" s="56"/>
      <c r="P93" s="56"/>
      <c r="Q93" s="56"/>
      <c r="R93" s="56"/>
      <c r="S93" s="7"/>
      <c r="T93" s="7"/>
    </row>
    <row r="94" spans="3:20" ht="22.05" customHeight="1" x14ac:dyDescent="0.3">
      <c r="C94" s="19"/>
      <c r="D94" s="130"/>
      <c r="E94" s="130"/>
      <c r="F94" s="130"/>
      <c r="G94" s="130"/>
      <c r="H94" s="130"/>
      <c r="I94" s="130"/>
      <c r="J94" s="130"/>
      <c r="K94" s="130"/>
      <c r="L94" s="130"/>
      <c r="M94" s="6"/>
      <c r="N94" s="6"/>
      <c r="O94" s="56"/>
      <c r="P94" s="56"/>
      <c r="Q94" s="56"/>
      <c r="R94" s="56"/>
      <c r="S94" s="7"/>
      <c r="T94" s="7"/>
    </row>
    <row r="95" spans="3:20" ht="22.05" customHeight="1" x14ac:dyDescent="0.3">
      <c r="C95" s="19"/>
      <c r="D95" s="130"/>
      <c r="E95" s="130"/>
      <c r="F95" s="130"/>
      <c r="G95" s="130"/>
      <c r="H95" s="130"/>
      <c r="I95" s="130"/>
      <c r="J95" s="130"/>
      <c r="K95" s="130"/>
      <c r="L95" s="130"/>
      <c r="M95" s="6"/>
      <c r="N95" s="6"/>
      <c r="O95" s="56"/>
      <c r="P95" s="56"/>
      <c r="Q95" s="56"/>
      <c r="R95" s="56"/>
      <c r="S95" s="7"/>
      <c r="T95" s="7"/>
    </row>
    <row r="96" spans="3:20" ht="22.05" customHeight="1" x14ac:dyDescent="0.3">
      <c r="C96" s="19"/>
      <c r="D96" s="130"/>
      <c r="E96" s="130"/>
      <c r="F96" s="130"/>
      <c r="G96" s="130"/>
      <c r="H96" s="130"/>
      <c r="I96" s="130"/>
      <c r="J96" s="130"/>
      <c r="K96" s="130"/>
      <c r="L96" s="130"/>
      <c r="M96" s="6"/>
      <c r="N96" s="6"/>
      <c r="O96" s="56"/>
      <c r="P96" s="56"/>
      <c r="Q96" s="56"/>
      <c r="R96" s="56"/>
      <c r="S96" s="7"/>
      <c r="T96" s="7"/>
    </row>
    <row r="97" spans="3:20" ht="22.05" customHeight="1" x14ac:dyDescent="0.3">
      <c r="C97" s="19"/>
      <c r="D97" s="130"/>
      <c r="E97" s="130"/>
      <c r="F97" s="130"/>
      <c r="G97" s="130"/>
      <c r="H97" s="130"/>
      <c r="I97" s="130"/>
      <c r="J97" s="130"/>
      <c r="K97" s="130"/>
      <c r="L97" s="130"/>
      <c r="M97" s="6"/>
      <c r="N97" s="6"/>
      <c r="O97" s="56"/>
      <c r="P97" s="56"/>
      <c r="Q97" s="56"/>
      <c r="R97" s="56"/>
      <c r="S97" s="7"/>
      <c r="T97" s="7"/>
    </row>
    <row r="98" spans="3:20" ht="22.05" customHeight="1" x14ac:dyDescent="0.3">
      <c r="C98" s="19"/>
      <c r="D98" s="130"/>
      <c r="E98" s="130"/>
      <c r="F98" s="130"/>
      <c r="G98" s="130"/>
      <c r="H98" s="130"/>
      <c r="I98" s="130"/>
      <c r="J98" s="130"/>
      <c r="K98" s="130"/>
      <c r="L98" s="130"/>
      <c r="M98" s="6"/>
      <c r="N98" s="6"/>
      <c r="O98" s="56"/>
      <c r="P98" s="56"/>
      <c r="Q98" s="56"/>
      <c r="R98" s="56"/>
      <c r="S98" s="7"/>
      <c r="T98" s="7"/>
    </row>
    <row r="99" spans="3:20" ht="22.05" customHeight="1" thickBot="1" x14ac:dyDescent="0.35">
      <c r="C99" s="20"/>
      <c r="D99" s="130"/>
      <c r="E99" s="130"/>
      <c r="F99" s="130"/>
      <c r="G99" s="130"/>
      <c r="H99" s="130"/>
      <c r="I99" s="130"/>
      <c r="J99" s="130"/>
      <c r="K99" s="130"/>
      <c r="L99" s="130"/>
      <c r="M99" s="47"/>
      <c r="N99" s="47"/>
      <c r="O99" s="56"/>
      <c r="P99" s="56"/>
      <c r="Q99" s="56"/>
      <c r="R99" s="56"/>
      <c r="S99" s="48"/>
      <c r="T99" s="48"/>
    </row>
    <row r="100" spans="3:20" ht="18" customHeight="1" x14ac:dyDescent="0.3">
      <c r="E100" s="3"/>
      <c r="I100" s="12">
        <f>SUM(I4:I99)</f>
        <v>0</v>
      </c>
      <c r="J100" s="12">
        <f>SUM(J4:J99)</f>
        <v>0</v>
      </c>
      <c r="N100"/>
      <c r="Q100" s="59"/>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4FBB-09BB-47DE-8E71-E68414AFF39E}">
  <sheetPr codeName="Tabelle13"/>
  <dimension ref="A1:W100"/>
  <sheetViews>
    <sheetView zoomScale="55" zoomScaleNormal="55" workbookViewId="0">
      <selection activeCell="J19" sqref="J19"/>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5.5546875" customWidth="1"/>
    <col min="7" max="7" width="13.77734375" style="1" customWidth="1"/>
    <col min="14" max="21" width="13.77734375" style="1" customWidth="1"/>
    <col min="24" max="16384" width="11.5546875" style="1"/>
  </cols>
  <sheetData>
    <row r="1" spans="1:23" ht="41.4" customHeight="1" thickBot="1" x14ac:dyDescent="0.35">
      <c r="A1" s="158" t="s">
        <v>84</v>
      </c>
      <c r="B1" s="159"/>
      <c r="C1" s="160" t="s">
        <v>12</v>
      </c>
      <c r="D1" s="161" t="s">
        <v>0</v>
      </c>
      <c r="F1" s="1"/>
      <c r="H1" s="1"/>
      <c r="I1" s="1"/>
      <c r="J1" s="1"/>
      <c r="K1" s="1"/>
      <c r="L1" s="1"/>
      <c r="M1" s="1"/>
      <c r="V1" s="1"/>
      <c r="W1" s="1"/>
    </row>
    <row r="2" spans="1:23" ht="22.05" customHeight="1" x14ac:dyDescent="0.45">
      <c r="A2" s="113"/>
      <c r="B2" s="35"/>
      <c r="C2" s="37" t="s">
        <v>11</v>
      </c>
      <c r="D2" s="38" t="s">
        <v>11</v>
      </c>
      <c r="E2" s="39" t="s">
        <v>13</v>
      </c>
      <c r="F2" s="39" t="s">
        <v>13</v>
      </c>
      <c r="G2" s="39" t="s">
        <v>13</v>
      </c>
      <c r="H2" s="39" t="s">
        <v>13</v>
      </c>
      <c r="I2" s="40"/>
      <c r="J2" s="40"/>
      <c r="K2" s="39"/>
      <c r="L2" s="39"/>
      <c r="M2" s="40"/>
      <c r="N2" s="40"/>
      <c r="O2" s="39"/>
      <c r="P2" s="39"/>
      <c r="Q2" s="39"/>
      <c r="R2" s="41"/>
      <c r="S2" s="40"/>
      <c r="T2" s="40"/>
    </row>
    <row r="3" spans="1:23" ht="22.05" customHeight="1" thickBot="1" x14ac:dyDescent="0.5">
      <c r="A3" s="113"/>
      <c r="B3" s="35"/>
      <c r="C3" s="20" t="s">
        <v>27</v>
      </c>
      <c r="D3" s="21" t="s">
        <v>85</v>
      </c>
      <c r="E3" s="118" t="s">
        <v>99</v>
      </c>
      <c r="F3" s="118" t="s">
        <v>100</v>
      </c>
      <c r="G3" s="57" t="s">
        <v>103</v>
      </c>
      <c r="H3" s="57" t="s">
        <v>104</v>
      </c>
      <c r="I3" s="57"/>
      <c r="J3" s="57"/>
      <c r="K3" s="57"/>
      <c r="L3" s="57"/>
      <c r="M3" s="57"/>
      <c r="N3" s="57"/>
      <c r="O3" s="57"/>
      <c r="P3" s="57"/>
      <c r="Q3" s="57"/>
      <c r="R3" s="58"/>
      <c r="S3" s="57"/>
      <c r="T3" s="57"/>
    </row>
    <row r="4" spans="1:23" ht="22.05" customHeight="1" x14ac:dyDescent="0.45">
      <c r="A4" s="113"/>
      <c r="B4" s="35"/>
      <c r="C4" s="49">
        <v>1</v>
      </c>
      <c r="D4" s="114">
        <v>43265.041666666664</v>
      </c>
      <c r="E4" s="36">
        <v>0</v>
      </c>
      <c r="F4" s="36">
        <v>0</v>
      </c>
      <c r="G4" s="36">
        <v>10</v>
      </c>
      <c r="H4" s="36">
        <v>5</v>
      </c>
      <c r="I4" s="51">
        <v>0</v>
      </c>
      <c r="J4" s="52">
        <v>0</v>
      </c>
      <c r="K4" s="53">
        <v>0</v>
      </c>
      <c r="L4" s="53">
        <v>0</v>
      </c>
      <c r="M4" s="54">
        <v>0</v>
      </c>
      <c r="N4" s="54">
        <v>0</v>
      </c>
      <c r="O4" s="56">
        <v>0</v>
      </c>
      <c r="P4" s="56">
        <v>0</v>
      </c>
      <c r="Q4" s="56">
        <v>0</v>
      </c>
      <c r="R4" s="56">
        <v>0</v>
      </c>
      <c r="S4" s="55">
        <v>0</v>
      </c>
      <c r="T4" s="55"/>
    </row>
    <row r="5" spans="1:23" ht="22.05" customHeight="1" x14ac:dyDescent="0.45">
      <c r="A5" s="113"/>
      <c r="B5" s="35"/>
      <c r="C5" s="19">
        <v>2</v>
      </c>
      <c r="D5" s="114">
        <v>43265.083333333336</v>
      </c>
      <c r="E5" s="2">
        <v>0</v>
      </c>
      <c r="F5" s="2">
        <v>0</v>
      </c>
      <c r="G5" s="2">
        <v>10</v>
      </c>
      <c r="H5" s="2">
        <v>5</v>
      </c>
      <c r="I5" s="18">
        <v>0</v>
      </c>
      <c r="J5" s="17">
        <v>0</v>
      </c>
      <c r="K5" s="5">
        <v>0</v>
      </c>
      <c r="L5" s="5">
        <v>0</v>
      </c>
      <c r="M5" s="6">
        <v>0</v>
      </c>
      <c r="N5" s="6">
        <v>0</v>
      </c>
      <c r="O5" s="56">
        <v>0</v>
      </c>
      <c r="P5" s="56">
        <v>0</v>
      </c>
      <c r="Q5" s="56">
        <v>0</v>
      </c>
      <c r="R5" s="56">
        <v>0</v>
      </c>
      <c r="S5" s="7">
        <v>0</v>
      </c>
      <c r="T5" s="7"/>
    </row>
    <row r="6" spans="1:23" ht="22.05" customHeight="1" x14ac:dyDescent="0.45">
      <c r="A6" s="113"/>
      <c r="B6" s="35"/>
      <c r="C6" s="19">
        <v>3</v>
      </c>
      <c r="D6" s="114">
        <v>43265.125</v>
      </c>
      <c r="E6" s="2">
        <v>0</v>
      </c>
      <c r="F6" s="2">
        <v>0</v>
      </c>
      <c r="G6" s="2">
        <v>10</v>
      </c>
      <c r="H6" s="2">
        <v>5</v>
      </c>
      <c r="I6" s="18">
        <v>0</v>
      </c>
      <c r="J6" s="17">
        <v>0</v>
      </c>
      <c r="K6" s="5">
        <v>0</v>
      </c>
      <c r="L6" s="5">
        <v>0</v>
      </c>
      <c r="M6" s="6">
        <v>0</v>
      </c>
      <c r="N6" s="6">
        <v>0</v>
      </c>
      <c r="O6" s="56">
        <v>0</v>
      </c>
      <c r="P6" s="56">
        <v>0</v>
      </c>
      <c r="Q6" s="56">
        <v>0</v>
      </c>
      <c r="R6" s="56">
        <v>0</v>
      </c>
      <c r="S6" s="7">
        <v>0</v>
      </c>
      <c r="T6" s="7"/>
    </row>
    <row r="7" spans="1:23" ht="22.05" customHeight="1" x14ac:dyDescent="0.45">
      <c r="A7" s="113"/>
      <c r="B7" s="35"/>
      <c r="C7" s="19">
        <v>4</v>
      </c>
      <c r="D7" s="114">
        <v>43265.166666666664</v>
      </c>
      <c r="E7" s="2">
        <v>0</v>
      </c>
      <c r="F7" s="2">
        <v>0</v>
      </c>
      <c r="G7" s="2">
        <v>10</v>
      </c>
      <c r="H7" s="2">
        <v>5</v>
      </c>
      <c r="I7" s="18">
        <v>0</v>
      </c>
      <c r="J7" s="17">
        <v>0</v>
      </c>
      <c r="K7" s="5">
        <v>0</v>
      </c>
      <c r="L7" s="5">
        <v>0</v>
      </c>
      <c r="M7" s="6">
        <v>0</v>
      </c>
      <c r="N7" s="6">
        <v>0</v>
      </c>
      <c r="O7" s="56">
        <v>0</v>
      </c>
      <c r="P7" s="56">
        <v>0</v>
      </c>
      <c r="Q7" s="56">
        <v>0</v>
      </c>
      <c r="R7" s="56">
        <v>0</v>
      </c>
      <c r="S7" s="7">
        <v>0</v>
      </c>
      <c r="T7" s="7"/>
    </row>
    <row r="8" spans="1:23" ht="22.05" customHeight="1" x14ac:dyDescent="0.45">
      <c r="A8" s="113"/>
      <c r="B8" s="35"/>
      <c r="C8" s="19">
        <v>5</v>
      </c>
      <c r="D8" s="114">
        <v>43265.208333333336</v>
      </c>
      <c r="E8" s="2">
        <v>0</v>
      </c>
      <c r="F8" s="2">
        <v>0</v>
      </c>
      <c r="G8" s="2">
        <v>10</v>
      </c>
      <c r="H8" s="2">
        <v>5</v>
      </c>
      <c r="I8" s="18">
        <v>0</v>
      </c>
      <c r="J8" s="17">
        <v>0</v>
      </c>
      <c r="K8" s="5">
        <v>0</v>
      </c>
      <c r="L8" s="5">
        <v>0</v>
      </c>
      <c r="M8" s="6">
        <v>0</v>
      </c>
      <c r="N8" s="6">
        <v>0</v>
      </c>
      <c r="O8" s="56">
        <v>0</v>
      </c>
      <c r="P8" s="56">
        <v>0</v>
      </c>
      <c r="Q8" s="56">
        <v>0</v>
      </c>
      <c r="R8" s="56">
        <v>0</v>
      </c>
      <c r="S8" s="7">
        <v>0</v>
      </c>
      <c r="T8" s="7"/>
    </row>
    <row r="9" spans="1:23" ht="22.05" customHeight="1" x14ac:dyDescent="0.45">
      <c r="A9" s="113"/>
      <c r="B9" s="35"/>
      <c r="C9" s="19">
        <v>6</v>
      </c>
      <c r="D9" s="114">
        <v>43265.25</v>
      </c>
      <c r="E9" s="2">
        <v>0</v>
      </c>
      <c r="F9" s="2">
        <v>0</v>
      </c>
      <c r="G9" s="2">
        <v>10</v>
      </c>
      <c r="H9" s="2">
        <v>5</v>
      </c>
      <c r="I9" s="18">
        <v>0</v>
      </c>
      <c r="J9" s="17">
        <v>0</v>
      </c>
      <c r="K9" s="5">
        <v>0</v>
      </c>
      <c r="L9" s="5">
        <v>0</v>
      </c>
      <c r="M9" s="6">
        <v>0</v>
      </c>
      <c r="N9" s="6">
        <v>0</v>
      </c>
      <c r="O9" s="56">
        <v>0</v>
      </c>
      <c r="P9" s="56">
        <v>0</v>
      </c>
      <c r="Q9" s="56">
        <v>0</v>
      </c>
      <c r="R9" s="56">
        <v>0</v>
      </c>
      <c r="S9" s="7">
        <v>0</v>
      </c>
      <c r="T9" s="7"/>
    </row>
    <row r="10" spans="1:23" ht="22.05" customHeight="1" x14ac:dyDescent="0.45">
      <c r="A10" s="113"/>
      <c r="B10" s="35"/>
      <c r="C10" s="19">
        <v>7</v>
      </c>
      <c r="D10" s="114">
        <v>43265.291666666664</v>
      </c>
      <c r="E10" s="2">
        <v>0</v>
      </c>
      <c r="F10" s="2">
        <v>0</v>
      </c>
      <c r="G10" s="2">
        <v>10</v>
      </c>
      <c r="H10" s="2">
        <v>5</v>
      </c>
      <c r="I10" s="18">
        <v>0</v>
      </c>
      <c r="J10" s="17">
        <v>0</v>
      </c>
      <c r="K10" s="5">
        <v>0</v>
      </c>
      <c r="L10" s="5">
        <v>0</v>
      </c>
      <c r="M10" s="6">
        <v>0</v>
      </c>
      <c r="N10" s="6">
        <v>0</v>
      </c>
      <c r="O10" s="56">
        <v>0</v>
      </c>
      <c r="P10" s="56">
        <v>0</v>
      </c>
      <c r="Q10" s="56">
        <v>0</v>
      </c>
      <c r="R10" s="56">
        <v>0</v>
      </c>
      <c r="S10" s="7">
        <v>0</v>
      </c>
      <c r="T10" s="7"/>
    </row>
    <row r="11" spans="1:23" ht="22.05" customHeight="1" x14ac:dyDescent="0.45">
      <c r="A11" s="113"/>
      <c r="B11" s="35"/>
      <c r="C11" s="19">
        <v>8</v>
      </c>
      <c r="D11" s="114">
        <v>43265.333333333336</v>
      </c>
      <c r="E11" s="2">
        <v>0</v>
      </c>
      <c r="F11" s="2">
        <v>0</v>
      </c>
      <c r="G11" s="2">
        <v>10</v>
      </c>
      <c r="H11" s="2">
        <v>5</v>
      </c>
      <c r="I11" s="18">
        <v>0</v>
      </c>
      <c r="J11" s="17">
        <v>0</v>
      </c>
      <c r="K11" s="5">
        <v>0</v>
      </c>
      <c r="L11" s="5">
        <v>0</v>
      </c>
      <c r="M11" s="6">
        <v>0</v>
      </c>
      <c r="N11" s="6">
        <v>0</v>
      </c>
      <c r="O11" s="56">
        <v>0</v>
      </c>
      <c r="P11" s="56">
        <v>0</v>
      </c>
      <c r="Q11" s="56">
        <v>0</v>
      </c>
      <c r="R11" s="56">
        <v>0</v>
      </c>
      <c r="S11" s="7">
        <v>0</v>
      </c>
      <c r="T11" s="7"/>
    </row>
    <row r="12" spans="1:23" ht="22.05" customHeight="1" x14ac:dyDescent="0.45">
      <c r="A12" s="113"/>
      <c r="B12" s="35"/>
      <c r="C12" s="19">
        <v>9</v>
      </c>
      <c r="D12" s="114">
        <v>43265.375</v>
      </c>
      <c r="E12" s="2">
        <v>0</v>
      </c>
      <c r="F12" s="2">
        <v>0</v>
      </c>
      <c r="G12" s="2">
        <v>10</v>
      </c>
      <c r="H12" s="2">
        <v>5</v>
      </c>
      <c r="I12" s="18">
        <v>0</v>
      </c>
      <c r="J12" s="17">
        <v>0</v>
      </c>
      <c r="K12" s="5">
        <v>0</v>
      </c>
      <c r="L12" s="5">
        <v>0</v>
      </c>
      <c r="M12" s="6">
        <v>0</v>
      </c>
      <c r="N12" s="6">
        <v>0</v>
      </c>
      <c r="O12" s="56">
        <v>0</v>
      </c>
      <c r="P12" s="56">
        <v>0</v>
      </c>
      <c r="Q12" s="56">
        <v>0</v>
      </c>
      <c r="R12" s="56">
        <v>0</v>
      </c>
      <c r="S12" s="7">
        <v>0</v>
      </c>
      <c r="T12" s="7"/>
    </row>
    <row r="13" spans="1:23" ht="22.05" customHeight="1" x14ac:dyDescent="0.45">
      <c r="A13" s="113"/>
      <c r="B13" s="35"/>
      <c r="C13" s="19">
        <v>10</v>
      </c>
      <c r="D13" s="114">
        <v>43265.416666666664</v>
      </c>
      <c r="E13" s="2">
        <v>0</v>
      </c>
      <c r="F13" s="2">
        <v>0</v>
      </c>
      <c r="G13" s="2">
        <v>10</v>
      </c>
      <c r="H13" s="2">
        <v>5</v>
      </c>
      <c r="I13" s="18">
        <v>0</v>
      </c>
      <c r="J13" s="17">
        <v>0</v>
      </c>
      <c r="K13" s="5">
        <v>0</v>
      </c>
      <c r="L13" s="5">
        <v>0</v>
      </c>
      <c r="M13" s="6">
        <v>0</v>
      </c>
      <c r="N13" s="6">
        <v>0</v>
      </c>
      <c r="O13" s="56">
        <v>0</v>
      </c>
      <c r="P13" s="56">
        <v>0</v>
      </c>
      <c r="Q13" s="56">
        <v>0</v>
      </c>
      <c r="R13" s="56">
        <v>0</v>
      </c>
      <c r="S13" s="7">
        <v>0</v>
      </c>
      <c r="T13" s="7"/>
    </row>
    <row r="14" spans="1:23" ht="22.05" customHeight="1" x14ac:dyDescent="0.45">
      <c r="A14" s="162" t="s">
        <v>10</v>
      </c>
      <c r="B14" s="163"/>
      <c r="C14" s="19">
        <v>11</v>
      </c>
      <c r="D14" s="114">
        <v>43265.458333333336</v>
      </c>
      <c r="E14" s="2">
        <v>0</v>
      </c>
      <c r="F14" s="2">
        <v>0</v>
      </c>
      <c r="G14" s="2">
        <v>10</v>
      </c>
      <c r="H14" s="2">
        <v>5</v>
      </c>
      <c r="I14" s="18">
        <v>0</v>
      </c>
      <c r="J14" s="17">
        <v>0</v>
      </c>
      <c r="K14" s="5">
        <v>0</v>
      </c>
      <c r="L14" s="5">
        <v>0</v>
      </c>
      <c r="M14" s="6">
        <v>0</v>
      </c>
      <c r="N14" s="6">
        <v>0</v>
      </c>
      <c r="O14" s="56">
        <v>0</v>
      </c>
      <c r="P14" s="56">
        <v>0</v>
      </c>
      <c r="Q14" s="56">
        <v>0</v>
      </c>
      <c r="R14" s="56">
        <v>0</v>
      </c>
      <c r="S14" s="7">
        <v>0</v>
      </c>
      <c r="T14" s="7"/>
    </row>
    <row r="15" spans="1:23" ht="22.05" customHeight="1" x14ac:dyDescent="0.45">
      <c r="A15" s="164">
        <v>0</v>
      </c>
      <c r="B15" s="165"/>
      <c r="C15" s="19">
        <v>12</v>
      </c>
      <c r="D15" s="114">
        <v>43265.5</v>
      </c>
      <c r="E15" s="2">
        <v>0</v>
      </c>
      <c r="F15" s="2">
        <v>0</v>
      </c>
      <c r="G15" s="2">
        <v>10</v>
      </c>
      <c r="H15" s="2">
        <v>5</v>
      </c>
      <c r="I15" s="18">
        <v>0</v>
      </c>
      <c r="J15" s="17">
        <v>0</v>
      </c>
      <c r="K15" s="5">
        <v>0</v>
      </c>
      <c r="L15" s="5">
        <v>0</v>
      </c>
      <c r="M15" s="6">
        <v>0</v>
      </c>
      <c r="N15" s="6">
        <v>0</v>
      </c>
      <c r="O15" s="56">
        <v>0</v>
      </c>
      <c r="P15" s="56">
        <v>0</v>
      </c>
      <c r="Q15" s="56">
        <v>0</v>
      </c>
      <c r="R15" s="56">
        <v>0</v>
      </c>
      <c r="S15" s="7">
        <v>0</v>
      </c>
      <c r="T15" s="7"/>
    </row>
    <row r="16" spans="1:23" ht="22.05" customHeight="1" x14ac:dyDescent="0.45">
      <c r="A16" s="164">
        <v>0</v>
      </c>
      <c r="B16" s="165"/>
      <c r="C16" s="19">
        <v>13</v>
      </c>
      <c r="D16" s="114">
        <v>43265.541666666664</v>
      </c>
      <c r="E16" s="2">
        <v>0</v>
      </c>
      <c r="F16" s="2">
        <v>0</v>
      </c>
      <c r="G16" s="2">
        <v>10</v>
      </c>
      <c r="H16" s="2">
        <v>5</v>
      </c>
      <c r="I16" s="18">
        <v>0</v>
      </c>
      <c r="J16" s="17">
        <v>0</v>
      </c>
      <c r="K16" s="5">
        <v>0</v>
      </c>
      <c r="L16" s="5">
        <v>0</v>
      </c>
      <c r="M16" s="6">
        <v>0</v>
      </c>
      <c r="N16" s="6">
        <v>0</v>
      </c>
      <c r="O16" s="56">
        <v>0</v>
      </c>
      <c r="P16" s="56">
        <v>0</v>
      </c>
      <c r="Q16" s="56">
        <v>0</v>
      </c>
      <c r="R16" s="56">
        <v>0</v>
      </c>
      <c r="S16" s="7">
        <v>0</v>
      </c>
      <c r="T16" s="7"/>
    </row>
    <row r="17" spans="1:20" ht="22.05" customHeight="1" x14ac:dyDescent="0.3">
      <c r="A17" s="8"/>
      <c r="B17" s="8"/>
      <c r="C17" s="19">
        <v>14</v>
      </c>
      <c r="D17" s="114">
        <v>43265.583333333336</v>
      </c>
      <c r="E17" s="2">
        <v>0</v>
      </c>
      <c r="F17" s="2">
        <v>0</v>
      </c>
      <c r="G17" s="2">
        <v>10</v>
      </c>
      <c r="H17" s="2">
        <v>5</v>
      </c>
      <c r="I17" s="18">
        <v>0</v>
      </c>
      <c r="J17" s="17">
        <v>0</v>
      </c>
      <c r="K17" s="5">
        <v>0</v>
      </c>
      <c r="L17" s="5">
        <v>0</v>
      </c>
      <c r="M17" s="6">
        <v>0</v>
      </c>
      <c r="N17" s="6">
        <v>0</v>
      </c>
      <c r="O17" s="56">
        <v>0</v>
      </c>
      <c r="P17" s="56">
        <v>0</v>
      </c>
      <c r="Q17" s="56">
        <v>0</v>
      </c>
      <c r="R17" s="56">
        <v>0</v>
      </c>
      <c r="S17" s="7">
        <v>0</v>
      </c>
      <c r="T17" s="7"/>
    </row>
    <row r="18" spans="1:20" ht="22.05" customHeight="1" x14ac:dyDescent="0.3">
      <c r="A18" s="8"/>
      <c r="B18" s="8"/>
      <c r="C18" s="19">
        <v>15</v>
      </c>
      <c r="D18" s="114">
        <v>43265.625</v>
      </c>
      <c r="E18" s="2">
        <v>0</v>
      </c>
      <c r="F18" s="2">
        <v>0</v>
      </c>
      <c r="G18" s="2">
        <v>10</v>
      </c>
      <c r="H18" s="2">
        <v>5</v>
      </c>
      <c r="I18" s="18">
        <v>0</v>
      </c>
      <c r="J18" s="17">
        <v>0</v>
      </c>
      <c r="K18" s="5">
        <v>0</v>
      </c>
      <c r="L18" s="5">
        <v>0</v>
      </c>
      <c r="M18" s="6">
        <v>0</v>
      </c>
      <c r="N18" s="6">
        <v>0</v>
      </c>
      <c r="O18" s="56">
        <v>0</v>
      </c>
      <c r="P18" s="56">
        <v>0</v>
      </c>
      <c r="Q18" s="56">
        <v>0</v>
      </c>
      <c r="R18" s="56">
        <v>0</v>
      </c>
      <c r="S18" s="7">
        <v>0</v>
      </c>
      <c r="T18" s="7"/>
    </row>
    <row r="19" spans="1:20" ht="22.05" customHeight="1" x14ac:dyDescent="0.45">
      <c r="A19" s="157"/>
      <c r="B19" s="157"/>
      <c r="C19" s="19">
        <v>16</v>
      </c>
      <c r="D19" s="114">
        <v>43265.666666666664</v>
      </c>
      <c r="E19" s="2">
        <v>0</v>
      </c>
      <c r="F19" s="2">
        <v>0</v>
      </c>
      <c r="G19" s="2">
        <v>10</v>
      </c>
      <c r="H19" s="2">
        <v>5</v>
      </c>
      <c r="I19" s="18">
        <v>0</v>
      </c>
      <c r="J19" s="17">
        <v>0</v>
      </c>
      <c r="K19" s="5">
        <v>0</v>
      </c>
      <c r="L19" s="5">
        <v>0</v>
      </c>
      <c r="M19" s="6">
        <v>0</v>
      </c>
      <c r="N19" s="6">
        <v>0</v>
      </c>
      <c r="O19" s="56">
        <v>0</v>
      </c>
      <c r="P19" s="56">
        <v>0</v>
      </c>
      <c r="Q19" s="56">
        <v>0</v>
      </c>
      <c r="R19" s="56">
        <v>0</v>
      </c>
      <c r="S19" s="7">
        <v>0</v>
      </c>
      <c r="T19" s="7"/>
    </row>
    <row r="20" spans="1:20" ht="22.05" customHeight="1" x14ac:dyDescent="0.3">
      <c r="A20" s="9"/>
      <c r="B20" s="9"/>
      <c r="C20" s="19">
        <v>17</v>
      </c>
      <c r="D20" s="114">
        <v>43265.708333333336</v>
      </c>
      <c r="E20" s="2">
        <v>0</v>
      </c>
      <c r="F20" s="2">
        <v>0</v>
      </c>
      <c r="G20" s="2">
        <v>10</v>
      </c>
      <c r="H20" s="2">
        <v>5</v>
      </c>
      <c r="I20" s="18">
        <v>0</v>
      </c>
      <c r="J20" s="17">
        <v>0</v>
      </c>
      <c r="K20" s="5">
        <v>0</v>
      </c>
      <c r="L20" s="5">
        <v>0</v>
      </c>
      <c r="M20" s="6">
        <v>0</v>
      </c>
      <c r="N20" s="6">
        <v>0</v>
      </c>
      <c r="O20" s="56">
        <v>0</v>
      </c>
      <c r="P20" s="56">
        <v>0</v>
      </c>
      <c r="Q20" s="56">
        <v>0</v>
      </c>
      <c r="R20" s="56">
        <v>0</v>
      </c>
      <c r="S20" s="7">
        <v>0</v>
      </c>
      <c r="T20" s="7"/>
    </row>
    <row r="21" spans="1:20" ht="22.05" customHeight="1" x14ac:dyDescent="0.3">
      <c r="C21" s="19">
        <v>18</v>
      </c>
      <c r="D21" s="114">
        <v>43265.75</v>
      </c>
      <c r="E21" s="2">
        <v>0</v>
      </c>
      <c r="F21" s="2">
        <v>0</v>
      </c>
      <c r="G21" s="2">
        <v>10</v>
      </c>
      <c r="H21" s="2">
        <v>5</v>
      </c>
      <c r="I21" s="18">
        <v>0</v>
      </c>
      <c r="J21" s="17">
        <v>0</v>
      </c>
      <c r="K21" s="5">
        <v>0</v>
      </c>
      <c r="L21" s="5">
        <v>0</v>
      </c>
      <c r="M21" s="6">
        <v>0</v>
      </c>
      <c r="N21" s="6">
        <v>0</v>
      </c>
      <c r="O21" s="56">
        <v>0</v>
      </c>
      <c r="P21" s="56">
        <v>0</v>
      </c>
      <c r="Q21" s="56">
        <v>0</v>
      </c>
      <c r="R21" s="56">
        <v>0</v>
      </c>
      <c r="S21" s="7">
        <v>0</v>
      </c>
      <c r="T21" s="7"/>
    </row>
    <row r="22" spans="1:20" ht="22.05" customHeight="1" x14ac:dyDescent="0.3">
      <c r="C22" s="19">
        <v>19</v>
      </c>
      <c r="D22" s="114">
        <v>43265.791666666664</v>
      </c>
      <c r="E22" s="2">
        <v>0</v>
      </c>
      <c r="F22" s="2">
        <v>0</v>
      </c>
      <c r="G22" s="2">
        <v>10</v>
      </c>
      <c r="H22" s="2">
        <v>5</v>
      </c>
      <c r="I22" s="18">
        <v>0</v>
      </c>
      <c r="J22" s="17">
        <v>0</v>
      </c>
      <c r="K22" s="5">
        <v>0</v>
      </c>
      <c r="L22" s="5">
        <v>0</v>
      </c>
      <c r="M22" s="6">
        <v>0</v>
      </c>
      <c r="N22" s="6">
        <v>0</v>
      </c>
      <c r="O22" s="56">
        <v>0</v>
      </c>
      <c r="P22" s="56">
        <v>0</v>
      </c>
      <c r="Q22" s="56">
        <v>0</v>
      </c>
      <c r="R22" s="56">
        <v>0</v>
      </c>
      <c r="S22" s="7">
        <v>0</v>
      </c>
      <c r="T22" s="7"/>
    </row>
    <row r="23" spans="1:20" ht="22.05" customHeight="1" x14ac:dyDescent="0.3">
      <c r="C23" s="19">
        <v>20</v>
      </c>
      <c r="D23" s="114">
        <v>43265.833333333336</v>
      </c>
      <c r="E23" s="2">
        <v>0</v>
      </c>
      <c r="F23" s="2">
        <v>0</v>
      </c>
      <c r="G23" s="2">
        <v>10</v>
      </c>
      <c r="H23" s="2">
        <v>5</v>
      </c>
      <c r="I23" s="18">
        <v>0</v>
      </c>
      <c r="J23" s="17">
        <v>0</v>
      </c>
      <c r="K23" s="5">
        <v>0</v>
      </c>
      <c r="L23" s="5">
        <v>0</v>
      </c>
      <c r="M23" s="6">
        <v>0</v>
      </c>
      <c r="N23" s="6">
        <v>0</v>
      </c>
      <c r="O23" s="56">
        <v>0</v>
      </c>
      <c r="P23" s="56">
        <v>0</v>
      </c>
      <c r="Q23" s="56">
        <v>0</v>
      </c>
      <c r="R23" s="56">
        <v>0</v>
      </c>
      <c r="S23" s="7">
        <v>0</v>
      </c>
      <c r="T23" s="7"/>
    </row>
    <row r="24" spans="1:20" ht="22.05" customHeight="1" x14ac:dyDescent="0.3">
      <c r="C24" s="19">
        <v>21</v>
      </c>
      <c r="D24" s="114">
        <v>43265.875</v>
      </c>
      <c r="E24" s="2">
        <v>0</v>
      </c>
      <c r="F24" s="2">
        <v>0</v>
      </c>
      <c r="G24" s="2">
        <v>10</v>
      </c>
      <c r="H24" s="2">
        <v>5</v>
      </c>
      <c r="I24" s="18">
        <v>0</v>
      </c>
      <c r="J24" s="17">
        <v>0</v>
      </c>
      <c r="K24" s="5">
        <v>0</v>
      </c>
      <c r="L24" s="5">
        <v>0</v>
      </c>
      <c r="M24" s="6">
        <v>0</v>
      </c>
      <c r="N24" s="6">
        <v>0</v>
      </c>
      <c r="O24" s="56">
        <v>0</v>
      </c>
      <c r="P24" s="56">
        <v>0</v>
      </c>
      <c r="Q24" s="56">
        <v>0</v>
      </c>
      <c r="R24" s="56">
        <v>0</v>
      </c>
      <c r="S24" s="7">
        <v>0</v>
      </c>
      <c r="T24" s="7"/>
    </row>
    <row r="25" spans="1:20" ht="22.05" customHeight="1" x14ac:dyDescent="0.3">
      <c r="C25" s="19">
        <v>22</v>
      </c>
      <c r="D25" s="114">
        <v>43265.916666666664</v>
      </c>
      <c r="E25" s="2">
        <v>0</v>
      </c>
      <c r="F25" s="2">
        <v>0</v>
      </c>
      <c r="G25" s="2">
        <v>10</v>
      </c>
      <c r="H25" s="2">
        <v>5</v>
      </c>
      <c r="I25" s="18">
        <v>0</v>
      </c>
      <c r="J25" s="17">
        <v>0</v>
      </c>
      <c r="K25" s="5">
        <v>0</v>
      </c>
      <c r="L25" s="5">
        <v>0</v>
      </c>
      <c r="M25" s="6">
        <v>0</v>
      </c>
      <c r="N25" s="6">
        <v>0</v>
      </c>
      <c r="O25" s="56">
        <v>0</v>
      </c>
      <c r="P25" s="56">
        <v>0</v>
      </c>
      <c r="Q25" s="56">
        <v>0</v>
      </c>
      <c r="R25" s="56">
        <v>0</v>
      </c>
      <c r="S25" s="7">
        <v>0</v>
      </c>
      <c r="T25" s="7"/>
    </row>
    <row r="26" spans="1:20" ht="22.05" customHeight="1" x14ac:dyDescent="0.3">
      <c r="C26" s="19">
        <v>23</v>
      </c>
      <c r="D26" s="114">
        <v>43265.958333333336</v>
      </c>
      <c r="E26" s="2">
        <v>0</v>
      </c>
      <c r="F26" s="2">
        <v>0</v>
      </c>
      <c r="G26" s="2">
        <v>10</v>
      </c>
      <c r="H26" s="2">
        <v>5</v>
      </c>
      <c r="I26" s="18">
        <v>0</v>
      </c>
      <c r="J26" s="17">
        <v>0</v>
      </c>
      <c r="K26" s="5">
        <v>0</v>
      </c>
      <c r="L26" s="5">
        <v>0</v>
      </c>
      <c r="M26" s="6">
        <v>0</v>
      </c>
      <c r="N26" s="6">
        <v>0</v>
      </c>
      <c r="O26" s="56">
        <v>0</v>
      </c>
      <c r="P26" s="56">
        <v>0</v>
      </c>
      <c r="Q26" s="56">
        <v>0</v>
      </c>
      <c r="R26" s="56">
        <v>0</v>
      </c>
      <c r="S26" s="7">
        <v>0</v>
      </c>
      <c r="T26" s="7"/>
    </row>
    <row r="27" spans="1:20" ht="22.05" customHeight="1" x14ac:dyDescent="0.3">
      <c r="C27" s="19">
        <v>24</v>
      </c>
      <c r="D27" s="114">
        <v>43266</v>
      </c>
      <c r="E27" s="2">
        <v>0</v>
      </c>
      <c r="F27" s="2">
        <v>0</v>
      </c>
      <c r="G27" s="2">
        <v>10</v>
      </c>
      <c r="H27" s="2">
        <v>5</v>
      </c>
      <c r="I27" s="18">
        <v>0</v>
      </c>
      <c r="J27" s="17">
        <v>0</v>
      </c>
      <c r="K27" s="5">
        <v>0</v>
      </c>
      <c r="L27" s="5">
        <v>0</v>
      </c>
      <c r="M27" s="6">
        <v>0</v>
      </c>
      <c r="N27" s="6">
        <v>0</v>
      </c>
      <c r="O27" s="56">
        <v>0</v>
      </c>
      <c r="P27" s="56">
        <v>0</v>
      </c>
      <c r="Q27" s="56">
        <v>0</v>
      </c>
      <c r="R27" s="56">
        <v>0</v>
      </c>
      <c r="S27" s="7">
        <v>0</v>
      </c>
      <c r="T27" s="7"/>
    </row>
    <row r="28" spans="1:20" ht="22.05" customHeight="1" x14ac:dyDescent="0.3">
      <c r="C28" s="19"/>
      <c r="D28" s="34"/>
      <c r="E28" s="2"/>
      <c r="F28" s="2"/>
      <c r="G28" s="2"/>
      <c r="I28" s="18"/>
      <c r="J28" s="17"/>
      <c r="K28" s="5"/>
      <c r="L28" s="5"/>
      <c r="M28" s="6"/>
      <c r="N28" s="6"/>
      <c r="O28" s="56"/>
      <c r="P28" s="56"/>
      <c r="Q28" s="56"/>
      <c r="R28" s="56"/>
      <c r="S28" s="7"/>
      <c r="T28" s="7"/>
    </row>
    <row r="29" spans="1:20" ht="22.05" customHeight="1" x14ac:dyDescent="0.3">
      <c r="C29" s="19"/>
      <c r="D29" s="34"/>
      <c r="E29" s="2"/>
      <c r="F29" s="2"/>
      <c r="G29" s="2"/>
      <c r="I29" s="18"/>
      <c r="J29" s="17"/>
      <c r="K29" s="5"/>
      <c r="L29" s="5"/>
      <c r="M29" s="6"/>
      <c r="N29" s="6"/>
      <c r="O29" s="56"/>
      <c r="P29" s="56"/>
      <c r="Q29" s="56"/>
      <c r="R29" s="56"/>
      <c r="S29" s="7"/>
      <c r="T29" s="7"/>
    </row>
    <row r="30" spans="1:20" ht="22.05" customHeight="1" x14ac:dyDescent="0.3">
      <c r="C30" s="19"/>
      <c r="D30" s="34"/>
      <c r="E30" s="2"/>
      <c r="F30" s="2"/>
      <c r="G30" s="2"/>
      <c r="I30" s="18"/>
      <c r="J30" s="17"/>
      <c r="K30" s="5"/>
      <c r="L30" s="5"/>
      <c r="M30" s="6"/>
      <c r="N30" s="6"/>
      <c r="O30" s="56"/>
      <c r="P30" s="56"/>
      <c r="Q30" s="56"/>
      <c r="R30" s="56"/>
      <c r="S30" s="7"/>
      <c r="T30" s="7"/>
    </row>
    <row r="31" spans="1:20" ht="22.05" customHeight="1" x14ac:dyDescent="0.3">
      <c r="C31" s="19"/>
      <c r="D31" s="34"/>
      <c r="E31" s="2"/>
      <c r="F31" s="2"/>
      <c r="G31" s="2"/>
      <c r="I31" s="18"/>
      <c r="J31" s="17"/>
      <c r="K31" s="5"/>
      <c r="L31" s="5"/>
      <c r="M31" s="6"/>
      <c r="N31" s="6"/>
      <c r="O31" s="56"/>
      <c r="P31" s="56"/>
      <c r="Q31" s="56"/>
      <c r="R31" s="56"/>
      <c r="S31" s="7"/>
      <c r="T31" s="7"/>
    </row>
    <row r="32" spans="1:20" ht="22.05" customHeight="1" x14ac:dyDescent="0.3">
      <c r="C32" s="19"/>
      <c r="D32" s="34"/>
      <c r="E32" s="2"/>
      <c r="F32" s="2"/>
      <c r="G32" s="2"/>
      <c r="I32" s="18"/>
      <c r="J32" s="17"/>
      <c r="K32" s="5"/>
      <c r="L32" s="5"/>
      <c r="M32" s="6"/>
      <c r="N32" s="6"/>
      <c r="O32" s="56"/>
      <c r="P32" s="56"/>
      <c r="Q32" s="56"/>
      <c r="R32" s="56"/>
      <c r="S32" s="7"/>
      <c r="T32" s="7"/>
    </row>
    <row r="33" spans="3:20" ht="22.05" customHeight="1" x14ac:dyDescent="0.3">
      <c r="C33" s="19"/>
      <c r="D33" s="34"/>
      <c r="E33" s="2"/>
      <c r="F33" s="2"/>
      <c r="G33" s="2"/>
      <c r="I33" s="18"/>
      <c r="J33" s="17"/>
      <c r="K33" s="5"/>
      <c r="L33" s="5"/>
      <c r="M33" s="6"/>
      <c r="N33" s="6"/>
      <c r="O33" s="56"/>
      <c r="P33" s="56"/>
      <c r="Q33" s="56"/>
      <c r="R33" s="56"/>
      <c r="S33" s="7"/>
      <c r="T33" s="7"/>
    </row>
    <row r="34" spans="3:20" ht="22.05" customHeight="1" x14ac:dyDescent="0.3">
      <c r="C34" s="19"/>
      <c r="D34" s="34"/>
      <c r="E34" s="2"/>
      <c r="F34" s="2"/>
      <c r="G34" s="2"/>
      <c r="I34" s="18"/>
      <c r="J34" s="17"/>
      <c r="K34" s="5"/>
      <c r="L34" s="5"/>
      <c r="M34" s="6"/>
      <c r="N34" s="6"/>
      <c r="O34" s="56"/>
      <c r="P34" s="56"/>
      <c r="Q34" s="56"/>
      <c r="R34" s="56"/>
      <c r="S34" s="7"/>
      <c r="T34" s="7"/>
    </row>
    <row r="35" spans="3:20" ht="22.05" customHeight="1" x14ac:dyDescent="0.3">
      <c r="C35" s="19"/>
      <c r="D35" s="34"/>
      <c r="E35" s="2"/>
      <c r="F35" s="2"/>
      <c r="G35" s="2"/>
      <c r="I35" s="18"/>
      <c r="J35" s="17"/>
      <c r="K35" s="5"/>
      <c r="L35" s="5"/>
      <c r="M35" s="6"/>
      <c r="N35" s="6"/>
      <c r="O35" s="56"/>
      <c r="P35" s="56"/>
      <c r="Q35" s="56"/>
      <c r="R35" s="56"/>
      <c r="S35" s="7"/>
      <c r="T35" s="7"/>
    </row>
    <row r="36" spans="3:20" ht="22.05" customHeight="1" x14ac:dyDescent="0.3">
      <c r="C36" s="19"/>
      <c r="D36" s="34"/>
      <c r="E36" s="2"/>
      <c r="F36" s="2"/>
      <c r="G36" s="2"/>
      <c r="I36" s="18"/>
      <c r="J36" s="17"/>
      <c r="K36" s="5"/>
      <c r="L36" s="5"/>
      <c r="M36" s="6"/>
      <c r="N36" s="6"/>
      <c r="O36" s="56"/>
      <c r="P36" s="56"/>
      <c r="Q36" s="56"/>
      <c r="R36" s="56"/>
      <c r="S36" s="7"/>
      <c r="T36" s="7"/>
    </row>
    <row r="37" spans="3:20" ht="22.05" customHeight="1" x14ac:dyDescent="0.3">
      <c r="C37" s="19"/>
      <c r="D37" s="34"/>
      <c r="E37" s="2"/>
      <c r="F37" s="2"/>
      <c r="G37" s="2"/>
      <c r="I37" s="18"/>
      <c r="J37" s="17"/>
      <c r="K37" s="5"/>
      <c r="L37" s="5"/>
      <c r="M37" s="6"/>
      <c r="N37" s="6"/>
      <c r="O37" s="56"/>
      <c r="P37" s="56"/>
      <c r="Q37" s="56"/>
      <c r="R37" s="56"/>
      <c r="S37" s="7"/>
      <c r="T37" s="7"/>
    </row>
    <row r="38" spans="3:20" ht="22.05" customHeight="1" x14ac:dyDescent="0.3">
      <c r="C38" s="19"/>
      <c r="D38" s="34"/>
      <c r="E38" s="2"/>
      <c r="F38" s="2"/>
      <c r="G38" s="2"/>
      <c r="I38" s="18"/>
      <c r="J38" s="17"/>
      <c r="K38" s="5"/>
      <c r="L38" s="5"/>
      <c r="M38" s="6"/>
      <c r="N38" s="6"/>
      <c r="O38" s="56"/>
      <c r="P38" s="56"/>
      <c r="Q38" s="56"/>
      <c r="R38" s="56"/>
      <c r="S38" s="7"/>
      <c r="T38" s="7"/>
    </row>
    <row r="39" spans="3:20" ht="22.05" customHeight="1" x14ac:dyDescent="0.3">
      <c r="C39" s="19"/>
      <c r="D39" s="34"/>
      <c r="E39" s="2"/>
      <c r="F39" s="2"/>
      <c r="G39" s="2"/>
      <c r="I39" s="18"/>
      <c r="J39" s="17"/>
      <c r="K39" s="5"/>
      <c r="L39" s="5"/>
      <c r="M39" s="6"/>
      <c r="N39" s="6"/>
      <c r="O39" s="56"/>
      <c r="P39" s="56"/>
      <c r="Q39" s="56"/>
      <c r="R39" s="56"/>
      <c r="S39" s="7"/>
      <c r="T39" s="7"/>
    </row>
    <row r="40" spans="3:20" ht="22.05" customHeight="1" x14ac:dyDescent="0.3">
      <c r="C40" s="19"/>
      <c r="D40" s="34"/>
      <c r="E40" s="2"/>
      <c r="F40" s="2"/>
      <c r="G40" s="2"/>
      <c r="I40" s="18"/>
      <c r="J40" s="17"/>
      <c r="K40" s="5"/>
      <c r="L40" s="5"/>
      <c r="M40" s="6"/>
      <c r="N40" s="6"/>
      <c r="O40" s="56"/>
      <c r="P40" s="56"/>
      <c r="Q40" s="56"/>
      <c r="R40" s="56"/>
      <c r="S40" s="7"/>
      <c r="T40" s="7"/>
    </row>
    <row r="41" spans="3:20" ht="22.05" customHeight="1" x14ac:dyDescent="0.3">
      <c r="C41" s="19"/>
      <c r="D41" s="34"/>
      <c r="E41" s="2"/>
      <c r="F41" s="2"/>
      <c r="G41" s="2"/>
      <c r="I41" s="18"/>
      <c r="J41" s="17"/>
      <c r="K41" s="5"/>
      <c r="L41" s="5"/>
      <c r="M41" s="6"/>
      <c r="N41" s="6"/>
      <c r="O41" s="56"/>
      <c r="P41" s="56"/>
      <c r="Q41" s="56"/>
      <c r="R41" s="56"/>
      <c r="S41" s="7"/>
      <c r="T41" s="7"/>
    </row>
    <row r="42" spans="3:20" ht="22.05" customHeight="1" x14ac:dyDescent="0.3">
      <c r="C42" s="19"/>
      <c r="D42" s="34"/>
      <c r="E42" s="2"/>
      <c r="F42" s="2"/>
      <c r="G42" s="2"/>
      <c r="I42" s="18"/>
      <c r="J42" s="17"/>
      <c r="K42" s="5"/>
      <c r="L42" s="5"/>
      <c r="M42" s="6"/>
      <c r="N42" s="6"/>
      <c r="O42" s="56"/>
      <c r="P42" s="56"/>
      <c r="Q42" s="56"/>
      <c r="R42" s="56"/>
      <c r="S42" s="7"/>
      <c r="T42" s="7"/>
    </row>
    <row r="43" spans="3:20" ht="22.05" customHeight="1" x14ac:dyDescent="0.3">
      <c r="C43" s="19"/>
      <c r="D43" s="34"/>
      <c r="E43" s="2"/>
      <c r="F43" s="2"/>
      <c r="G43" s="2"/>
      <c r="I43" s="18"/>
      <c r="J43" s="17"/>
      <c r="K43" s="5"/>
      <c r="L43" s="5"/>
      <c r="M43" s="6"/>
      <c r="N43" s="6"/>
      <c r="O43" s="56"/>
      <c r="P43" s="56"/>
      <c r="Q43" s="56"/>
      <c r="R43" s="56"/>
      <c r="S43" s="7"/>
      <c r="T43" s="7"/>
    </row>
    <row r="44" spans="3:20" ht="22.05" customHeight="1" x14ac:dyDescent="0.3">
      <c r="C44" s="19"/>
      <c r="D44" s="34"/>
      <c r="E44" s="2"/>
      <c r="F44" s="2"/>
      <c r="G44" s="2"/>
      <c r="I44" s="18"/>
      <c r="J44" s="17"/>
      <c r="K44" s="5"/>
      <c r="L44" s="5"/>
      <c r="M44" s="6"/>
      <c r="N44" s="6"/>
      <c r="O44" s="56"/>
      <c r="P44" s="56"/>
      <c r="Q44" s="56"/>
      <c r="R44" s="56"/>
      <c r="S44" s="7"/>
      <c r="T44" s="7"/>
    </row>
    <row r="45" spans="3:20" ht="22.05" customHeight="1" x14ac:dyDescent="0.3">
      <c r="C45" s="19"/>
      <c r="D45" s="34"/>
      <c r="E45" s="2"/>
      <c r="F45" s="2"/>
      <c r="G45" s="2"/>
      <c r="I45" s="18"/>
      <c r="J45" s="17"/>
      <c r="K45" s="5"/>
      <c r="L45" s="5"/>
      <c r="M45" s="6"/>
      <c r="N45" s="6"/>
      <c r="O45" s="56"/>
      <c r="P45" s="56"/>
      <c r="Q45" s="56"/>
      <c r="R45" s="56"/>
      <c r="S45" s="7"/>
      <c r="T45" s="7"/>
    </row>
    <row r="46" spans="3:20" ht="22.05" customHeight="1" x14ac:dyDescent="0.3">
      <c r="C46" s="19"/>
      <c r="D46" s="34"/>
      <c r="E46" s="2"/>
      <c r="F46" s="2"/>
      <c r="G46" s="2"/>
      <c r="I46" s="18"/>
      <c r="J46" s="17"/>
      <c r="K46" s="5"/>
      <c r="L46" s="5"/>
      <c r="M46" s="6"/>
      <c r="N46" s="6"/>
      <c r="O46" s="56"/>
      <c r="P46" s="56"/>
      <c r="Q46" s="56"/>
      <c r="R46" s="56"/>
      <c r="S46" s="7"/>
      <c r="T46" s="7"/>
    </row>
    <row r="47" spans="3:20" ht="22.05" customHeight="1" x14ac:dyDescent="0.3">
      <c r="C47" s="19"/>
      <c r="D47" s="34"/>
      <c r="E47" s="2"/>
      <c r="F47" s="2"/>
      <c r="G47" s="2"/>
      <c r="I47" s="18"/>
      <c r="J47" s="17"/>
      <c r="K47" s="5"/>
      <c r="L47" s="5"/>
      <c r="M47" s="6"/>
      <c r="N47" s="6"/>
      <c r="O47" s="56"/>
      <c r="P47" s="56"/>
      <c r="Q47" s="56"/>
      <c r="R47" s="56"/>
      <c r="S47" s="7"/>
      <c r="T47" s="7"/>
    </row>
    <row r="48" spans="3:20" ht="22.05" customHeight="1" x14ac:dyDescent="0.3">
      <c r="C48" s="19"/>
      <c r="D48" s="34"/>
      <c r="E48" s="2"/>
      <c r="F48" s="2"/>
      <c r="G48" s="2"/>
      <c r="I48" s="18"/>
      <c r="J48" s="17"/>
      <c r="K48" s="5"/>
      <c r="L48" s="5"/>
      <c r="M48" s="6"/>
      <c r="N48" s="6"/>
      <c r="O48" s="56"/>
      <c r="P48" s="56"/>
      <c r="Q48" s="56"/>
      <c r="R48" s="56"/>
      <c r="S48" s="7"/>
      <c r="T48" s="7"/>
    </row>
    <row r="49" spans="3:20" ht="22.05" customHeight="1" x14ac:dyDescent="0.3">
      <c r="C49" s="19"/>
      <c r="D49" s="34"/>
      <c r="E49" s="2"/>
      <c r="F49" s="2"/>
      <c r="G49" s="2"/>
      <c r="I49" s="18"/>
      <c r="J49" s="17"/>
      <c r="K49" s="5"/>
      <c r="L49" s="5"/>
      <c r="M49" s="6"/>
      <c r="N49" s="6"/>
      <c r="O49" s="56"/>
      <c r="P49" s="56"/>
      <c r="Q49" s="56"/>
      <c r="R49" s="56"/>
      <c r="S49" s="7"/>
      <c r="T49" s="7"/>
    </row>
    <row r="50" spans="3:20" ht="22.05" customHeight="1" x14ac:dyDescent="0.3">
      <c r="C50" s="19"/>
      <c r="D50" s="34"/>
      <c r="E50" s="2"/>
      <c r="F50" s="2"/>
      <c r="G50" s="2"/>
      <c r="I50" s="18"/>
      <c r="J50" s="17"/>
      <c r="K50" s="5"/>
      <c r="L50" s="5"/>
      <c r="M50" s="6"/>
      <c r="N50" s="6"/>
      <c r="O50" s="56"/>
      <c r="P50" s="56"/>
      <c r="Q50" s="56"/>
      <c r="R50" s="56"/>
      <c r="S50" s="7"/>
      <c r="T50" s="7"/>
    </row>
    <row r="51" spans="3:20" ht="22.05" customHeight="1" x14ac:dyDescent="0.3">
      <c r="C51" s="19"/>
      <c r="D51" s="34"/>
      <c r="E51" s="2"/>
      <c r="F51" s="2"/>
      <c r="G51" s="2"/>
      <c r="I51" s="18"/>
      <c r="J51" s="17"/>
      <c r="K51" s="5"/>
      <c r="L51" s="5"/>
      <c r="M51" s="6"/>
      <c r="N51" s="6"/>
      <c r="O51" s="56"/>
      <c r="P51" s="56"/>
      <c r="Q51" s="56"/>
      <c r="R51" s="56"/>
      <c r="S51" s="7"/>
      <c r="T51" s="7"/>
    </row>
    <row r="52" spans="3:20" ht="22.05" customHeight="1" x14ac:dyDescent="0.3">
      <c r="C52" s="19"/>
      <c r="D52" s="34"/>
      <c r="E52" s="2"/>
      <c r="F52" s="2"/>
      <c r="G52" s="2"/>
      <c r="I52" s="18"/>
      <c r="J52" s="17"/>
      <c r="K52" s="5"/>
      <c r="L52" s="5"/>
      <c r="M52" s="6"/>
      <c r="N52" s="6"/>
      <c r="O52" s="56"/>
      <c r="P52" s="56"/>
      <c r="Q52" s="56"/>
      <c r="R52" s="56"/>
      <c r="S52" s="7"/>
      <c r="T52" s="7"/>
    </row>
    <row r="53" spans="3:20" ht="22.05" customHeight="1" x14ac:dyDescent="0.3">
      <c r="C53" s="19"/>
      <c r="D53" s="34"/>
      <c r="E53" s="2"/>
      <c r="F53" s="2"/>
      <c r="G53" s="2"/>
      <c r="I53" s="18"/>
      <c r="J53" s="17"/>
      <c r="K53" s="5"/>
      <c r="L53" s="5"/>
      <c r="M53" s="6"/>
      <c r="N53" s="6"/>
      <c r="O53" s="56"/>
      <c r="P53" s="56"/>
      <c r="Q53" s="56"/>
      <c r="R53" s="56"/>
      <c r="S53" s="7"/>
      <c r="T53" s="7"/>
    </row>
    <row r="54" spans="3:20" ht="22.05" customHeight="1" x14ac:dyDescent="0.3">
      <c r="C54" s="19"/>
      <c r="D54" s="34"/>
      <c r="E54" s="2"/>
      <c r="F54" s="2"/>
      <c r="G54" s="2"/>
      <c r="I54" s="18"/>
      <c r="J54" s="17"/>
      <c r="K54" s="5"/>
      <c r="L54" s="5"/>
      <c r="M54" s="6"/>
      <c r="N54" s="6"/>
      <c r="O54" s="56"/>
      <c r="P54" s="56"/>
      <c r="Q54" s="56"/>
      <c r="R54" s="56"/>
      <c r="S54" s="7"/>
      <c r="T54" s="7"/>
    </row>
    <row r="55" spans="3:20" ht="22.05" customHeight="1" x14ac:dyDescent="0.3">
      <c r="C55" s="19"/>
      <c r="D55" s="34"/>
      <c r="E55" s="2"/>
      <c r="F55" s="2"/>
      <c r="G55" s="2"/>
      <c r="I55" s="18"/>
      <c r="J55" s="17"/>
      <c r="K55" s="5"/>
      <c r="L55" s="5"/>
      <c r="M55" s="6"/>
      <c r="N55" s="6"/>
      <c r="O55" s="56"/>
      <c r="P55" s="56"/>
      <c r="Q55" s="56"/>
      <c r="R55" s="56"/>
      <c r="S55" s="7"/>
      <c r="T55" s="7"/>
    </row>
    <row r="56" spans="3:20" ht="22.05" customHeight="1" x14ac:dyDescent="0.3">
      <c r="C56" s="19"/>
      <c r="D56" s="34"/>
      <c r="E56" s="2"/>
      <c r="F56" s="2"/>
      <c r="G56" s="2"/>
      <c r="I56" s="18"/>
      <c r="J56" s="17"/>
      <c r="K56" s="5"/>
      <c r="L56" s="5"/>
      <c r="M56" s="6"/>
      <c r="N56" s="6"/>
      <c r="O56" s="56"/>
      <c r="P56" s="56"/>
      <c r="Q56" s="56"/>
      <c r="R56" s="56"/>
      <c r="S56" s="7"/>
      <c r="T56" s="7"/>
    </row>
    <row r="57" spans="3:20" ht="22.05" customHeight="1" x14ac:dyDescent="0.3">
      <c r="C57" s="19"/>
      <c r="D57" s="34"/>
      <c r="E57" s="2"/>
      <c r="F57" s="2"/>
      <c r="G57" s="2"/>
      <c r="I57" s="18"/>
      <c r="J57" s="17"/>
      <c r="K57" s="5"/>
      <c r="L57" s="5"/>
      <c r="M57" s="6"/>
      <c r="N57" s="6"/>
      <c r="O57" s="56"/>
      <c r="P57" s="56"/>
      <c r="Q57" s="56"/>
      <c r="R57" s="56"/>
      <c r="S57" s="7"/>
      <c r="T57" s="7"/>
    </row>
    <row r="58" spans="3:20" ht="22.05" customHeight="1" x14ac:dyDescent="0.3">
      <c r="C58" s="19"/>
      <c r="D58" s="34"/>
      <c r="E58" s="2"/>
      <c r="F58" s="2"/>
      <c r="G58" s="2"/>
      <c r="I58" s="18"/>
      <c r="J58" s="17"/>
      <c r="K58" s="5"/>
      <c r="L58" s="5"/>
      <c r="M58" s="6"/>
      <c r="N58" s="6"/>
      <c r="O58" s="56"/>
      <c r="P58" s="56"/>
      <c r="Q58" s="56"/>
      <c r="R58" s="56"/>
      <c r="S58" s="7"/>
      <c r="T58" s="7"/>
    </row>
    <row r="59" spans="3:20" ht="22.05" customHeight="1" x14ac:dyDescent="0.3">
      <c r="C59" s="19"/>
      <c r="D59" s="34"/>
      <c r="E59" s="2"/>
      <c r="F59" s="2"/>
      <c r="G59" s="2"/>
      <c r="I59" s="18"/>
      <c r="J59" s="17"/>
      <c r="K59" s="5"/>
      <c r="L59" s="5"/>
      <c r="M59" s="6"/>
      <c r="N59" s="6"/>
      <c r="O59" s="56"/>
      <c r="P59" s="56"/>
      <c r="Q59" s="56"/>
      <c r="R59" s="56"/>
      <c r="S59" s="7"/>
      <c r="T59" s="7"/>
    </row>
    <row r="60" spans="3:20" ht="22.05" customHeight="1" x14ac:dyDescent="0.3">
      <c r="C60" s="19"/>
      <c r="D60" s="34"/>
      <c r="E60" s="2"/>
      <c r="F60" s="2"/>
      <c r="G60" s="2"/>
      <c r="I60" s="18"/>
      <c r="J60" s="17"/>
      <c r="K60" s="5"/>
      <c r="L60" s="5"/>
      <c r="M60" s="6"/>
      <c r="N60" s="6"/>
      <c r="O60" s="56"/>
      <c r="P60" s="56"/>
      <c r="Q60" s="56"/>
      <c r="R60" s="56"/>
      <c r="S60" s="7"/>
      <c r="T60" s="7"/>
    </row>
    <row r="61" spans="3:20" ht="22.05" customHeight="1" x14ac:dyDescent="0.3">
      <c r="C61" s="19"/>
      <c r="D61" s="34"/>
      <c r="E61" s="2"/>
      <c r="F61" s="2"/>
      <c r="G61" s="2"/>
      <c r="I61" s="18"/>
      <c r="J61" s="17"/>
      <c r="K61" s="5"/>
      <c r="L61" s="5"/>
      <c r="M61" s="6"/>
      <c r="N61" s="6"/>
      <c r="O61" s="56"/>
      <c r="P61" s="56"/>
      <c r="Q61" s="56"/>
      <c r="R61" s="56"/>
      <c r="S61" s="7"/>
      <c r="T61" s="7"/>
    </row>
    <row r="62" spans="3:20" ht="22.05" customHeight="1" x14ac:dyDescent="0.3">
      <c r="C62" s="19"/>
      <c r="D62" s="34"/>
      <c r="E62" s="2"/>
      <c r="F62" s="2"/>
      <c r="G62" s="2"/>
      <c r="I62" s="18"/>
      <c r="J62" s="17"/>
      <c r="K62" s="5"/>
      <c r="L62" s="5"/>
      <c r="M62" s="6"/>
      <c r="N62" s="6"/>
      <c r="O62" s="56"/>
      <c r="P62" s="56"/>
      <c r="Q62" s="56"/>
      <c r="R62" s="56"/>
      <c r="S62" s="7"/>
      <c r="T62" s="7"/>
    </row>
    <row r="63" spans="3:20" ht="22.05" customHeight="1" x14ac:dyDescent="0.3">
      <c r="C63" s="19"/>
      <c r="D63" s="34"/>
      <c r="E63" s="2"/>
      <c r="F63" s="2"/>
      <c r="G63" s="2"/>
      <c r="I63" s="18"/>
      <c r="J63" s="17"/>
      <c r="K63" s="5"/>
      <c r="L63" s="5"/>
      <c r="M63" s="6"/>
      <c r="N63" s="6"/>
      <c r="O63" s="56"/>
      <c r="P63" s="56"/>
      <c r="Q63" s="56"/>
      <c r="R63" s="56"/>
      <c r="S63" s="7"/>
      <c r="T63" s="7"/>
    </row>
    <row r="64" spans="3:20" ht="22.05" customHeight="1" x14ac:dyDescent="0.3">
      <c r="C64" s="19"/>
      <c r="D64" s="34"/>
      <c r="E64" s="2"/>
      <c r="F64" s="2"/>
      <c r="G64" s="2"/>
      <c r="I64" s="18"/>
      <c r="J64" s="17"/>
      <c r="K64" s="5"/>
      <c r="L64" s="5"/>
      <c r="M64" s="6"/>
      <c r="N64" s="6"/>
      <c r="O64" s="56"/>
      <c r="P64" s="56"/>
      <c r="Q64" s="56"/>
      <c r="R64" s="56"/>
      <c r="S64" s="7"/>
      <c r="T64" s="7"/>
    </row>
    <row r="65" spans="3:20" ht="22.05" customHeight="1" x14ac:dyDescent="0.3">
      <c r="C65" s="19"/>
      <c r="D65" s="34"/>
      <c r="E65" s="2"/>
      <c r="F65" s="2"/>
      <c r="G65" s="2"/>
      <c r="I65" s="18"/>
      <c r="J65" s="17"/>
      <c r="K65" s="5"/>
      <c r="L65" s="5"/>
      <c r="M65" s="6"/>
      <c r="N65" s="6"/>
      <c r="O65" s="56"/>
      <c r="P65" s="56"/>
      <c r="Q65" s="56"/>
      <c r="R65" s="56"/>
      <c r="S65" s="7"/>
      <c r="T65" s="7"/>
    </row>
    <row r="66" spans="3:20" ht="22.05" customHeight="1" x14ac:dyDescent="0.3">
      <c r="C66" s="19"/>
      <c r="D66" s="34"/>
      <c r="E66" s="2"/>
      <c r="F66" s="2"/>
      <c r="G66" s="2"/>
      <c r="I66" s="18"/>
      <c r="J66" s="17"/>
      <c r="K66" s="5"/>
      <c r="L66" s="5"/>
      <c r="M66" s="6"/>
      <c r="N66" s="6"/>
      <c r="O66" s="56"/>
      <c r="P66" s="56"/>
      <c r="Q66" s="56"/>
      <c r="R66" s="56"/>
      <c r="S66" s="7"/>
      <c r="T66" s="7"/>
    </row>
    <row r="67" spans="3:20" ht="22.05" customHeight="1" x14ac:dyDescent="0.3">
      <c r="C67" s="19"/>
      <c r="D67" s="34"/>
      <c r="E67" s="2"/>
      <c r="F67" s="2"/>
      <c r="G67" s="2"/>
      <c r="I67" s="18"/>
      <c r="J67" s="17"/>
      <c r="K67" s="5"/>
      <c r="L67" s="5"/>
      <c r="M67" s="6"/>
      <c r="N67" s="6"/>
      <c r="O67" s="56"/>
      <c r="P67" s="56"/>
      <c r="Q67" s="56"/>
      <c r="R67" s="56"/>
      <c r="S67" s="7"/>
      <c r="T67" s="7"/>
    </row>
    <row r="68" spans="3:20" ht="22.05" customHeight="1" x14ac:dyDescent="0.3">
      <c r="C68" s="19"/>
      <c r="D68" s="34"/>
      <c r="E68" s="2"/>
      <c r="F68" s="2"/>
      <c r="G68" s="2"/>
      <c r="I68" s="18"/>
      <c r="J68" s="17"/>
      <c r="K68" s="5"/>
      <c r="L68" s="5"/>
      <c r="M68" s="6"/>
      <c r="N68" s="6"/>
      <c r="O68" s="56"/>
      <c r="P68" s="56"/>
      <c r="Q68" s="56"/>
      <c r="R68" s="56"/>
      <c r="S68" s="7"/>
      <c r="T68" s="7"/>
    </row>
    <row r="69" spans="3:20" ht="22.05" customHeight="1" x14ac:dyDescent="0.3">
      <c r="C69" s="19"/>
      <c r="D69" s="34"/>
      <c r="E69" s="2"/>
      <c r="F69" s="2"/>
      <c r="G69" s="2"/>
      <c r="I69" s="18"/>
      <c r="J69" s="17"/>
      <c r="K69" s="5"/>
      <c r="L69" s="5"/>
      <c r="M69" s="6"/>
      <c r="N69" s="6"/>
      <c r="O69" s="56"/>
      <c r="P69" s="56"/>
      <c r="Q69" s="56"/>
      <c r="R69" s="56"/>
      <c r="S69" s="7"/>
      <c r="T69" s="7"/>
    </row>
    <row r="70" spans="3:20" ht="22.05" customHeight="1" x14ac:dyDescent="0.3">
      <c r="C70" s="19"/>
      <c r="D70" s="34"/>
      <c r="E70" s="2"/>
      <c r="F70" s="2"/>
      <c r="G70" s="2"/>
      <c r="I70" s="18"/>
      <c r="J70" s="17"/>
      <c r="K70" s="5"/>
      <c r="L70" s="5"/>
      <c r="M70" s="6"/>
      <c r="N70" s="6"/>
      <c r="O70" s="56"/>
      <c r="P70" s="56"/>
      <c r="Q70" s="56"/>
      <c r="R70" s="56"/>
      <c r="S70" s="7"/>
      <c r="T70" s="7"/>
    </row>
    <row r="71" spans="3:20" ht="22.05" customHeight="1" x14ac:dyDescent="0.3">
      <c r="C71" s="19"/>
      <c r="D71" s="34"/>
      <c r="E71" s="2"/>
      <c r="F71" s="2"/>
      <c r="G71" s="2"/>
      <c r="I71" s="18"/>
      <c r="J71" s="17"/>
      <c r="K71" s="5"/>
      <c r="L71" s="5"/>
      <c r="M71" s="6"/>
      <c r="N71" s="6"/>
      <c r="O71" s="56"/>
      <c r="P71" s="56"/>
      <c r="Q71" s="56"/>
      <c r="R71" s="56"/>
      <c r="S71" s="7"/>
      <c r="T71" s="7"/>
    </row>
    <row r="72" spans="3:20" ht="22.05" customHeight="1" x14ac:dyDescent="0.3">
      <c r="C72" s="19"/>
      <c r="D72" s="34"/>
      <c r="E72" s="2"/>
      <c r="F72" s="2"/>
      <c r="G72" s="2"/>
      <c r="I72" s="18"/>
      <c r="J72" s="17"/>
      <c r="K72" s="5"/>
      <c r="L72" s="5"/>
      <c r="M72" s="6"/>
      <c r="N72" s="6"/>
      <c r="O72" s="56"/>
      <c r="P72" s="56"/>
      <c r="Q72" s="56"/>
      <c r="R72" s="56"/>
      <c r="S72" s="7"/>
      <c r="T72" s="7"/>
    </row>
    <row r="73" spans="3:20" ht="22.05" customHeight="1" x14ac:dyDescent="0.3">
      <c r="C73" s="19"/>
      <c r="D73" s="34"/>
      <c r="E73" s="2"/>
      <c r="F73" s="2"/>
      <c r="G73" s="2"/>
      <c r="I73" s="18"/>
      <c r="J73" s="17"/>
      <c r="K73" s="5"/>
      <c r="L73" s="5"/>
      <c r="M73" s="6"/>
      <c r="N73" s="6"/>
      <c r="O73" s="56"/>
      <c r="P73" s="56"/>
      <c r="Q73" s="56"/>
      <c r="R73" s="56"/>
      <c r="S73" s="7"/>
      <c r="T73" s="7"/>
    </row>
    <row r="74" spans="3:20" ht="22.05" customHeight="1" x14ac:dyDescent="0.3">
      <c r="C74" s="19"/>
      <c r="D74" s="34"/>
      <c r="E74" s="2"/>
      <c r="F74" s="2"/>
      <c r="G74" s="2"/>
      <c r="I74" s="18"/>
      <c r="J74" s="17"/>
      <c r="K74" s="5"/>
      <c r="L74" s="5"/>
      <c r="M74" s="6"/>
      <c r="N74" s="6"/>
      <c r="O74" s="56"/>
      <c r="P74" s="56"/>
      <c r="Q74" s="56"/>
      <c r="R74" s="56"/>
      <c r="S74" s="7"/>
      <c r="T74" s="7"/>
    </row>
    <row r="75" spans="3:20" ht="22.05" customHeight="1" x14ac:dyDescent="0.3">
      <c r="C75" s="19"/>
      <c r="D75" s="34"/>
      <c r="E75" s="2"/>
      <c r="F75" s="2"/>
      <c r="G75" s="2"/>
      <c r="I75" s="18"/>
      <c r="J75" s="17"/>
      <c r="K75" s="5"/>
      <c r="L75" s="5"/>
      <c r="M75" s="6"/>
      <c r="N75" s="6"/>
      <c r="O75" s="56"/>
      <c r="P75" s="56"/>
      <c r="Q75" s="56"/>
      <c r="R75" s="56"/>
      <c r="S75" s="7"/>
      <c r="T75" s="7"/>
    </row>
    <row r="76" spans="3:20" ht="22.05" customHeight="1" x14ac:dyDescent="0.3">
      <c r="C76" s="19"/>
      <c r="D76" s="34"/>
      <c r="E76" s="2"/>
      <c r="F76" s="2"/>
      <c r="G76" s="2"/>
      <c r="I76" s="18"/>
      <c r="J76" s="17"/>
      <c r="K76" s="5"/>
      <c r="L76" s="5"/>
      <c r="M76" s="6"/>
      <c r="N76" s="6"/>
      <c r="O76" s="56"/>
      <c r="P76" s="56"/>
      <c r="Q76" s="56"/>
      <c r="R76" s="56"/>
      <c r="S76" s="7"/>
      <c r="T76" s="7"/>
    </row>
    <row r="77" spans="3:20" ht="22.05" customHeight="1" x14ac:dyDescent="0.3">
      <c r="C77" s="19"/>
      <c r="D77" s="34"/>
      <c r="E77" s="2"/>
      <c r="F77" s="2"/>
      <c r="G77" s="2"/>
      <c r="I77" s="18"/>
      <c r="J77" s="17"/>
      <c r="K77" s="5"/>
      <c r="L77" s="5"/>
      <c r="M77" s="6"/>
      <c r="N77" s="6"/>
      <c r="O77" s="56"/>
      <c r="P77" s="56"/>
      <c r="Q77" s="56"/>
      <c r="R77" s="56"/>
      <c r="S77" s="7"/>
      <c r="T77" s="7"/>
    </row>
    <row r="78" spans="3:20" ht="22.05" customHeight="1" x14ac:dyDescent="0.3">
      <c r="C78" s="19"/>
      <c r="D78" s="34"/>
      <c r="E78" s="2"/>
      <c r="F78" s="2"/>
      <c r="G78" s="2"/>
      <c r="I78" s="18"/>
      <c r="J78" s="17"/>
      <c r="K78" s="5"/>
      <c r="L78" s="5"/>
      <c r="M78" s="6"/>
      <c r="N78" s="6"/>
      <c r="O78" s="56"/>
      <c r="P78" s="56"/>
      <c r="Q78" s="56"/>
      <c r="R78" s="56"/>
      <c r="S78" s="7"/>
      <c r="T78" s="7"/>
    </row>
    <row r="79" spans="3:20" ht="22.05" customHeight="1" x14ac:dyDescent="0.3">
      <c r="C79" s="19"/>
      <c r="D79" s="34"/>
      <c r="E79" s="2"/>
      <c r="F79" s="2"/>
      <c r="G79" s="2"/>
      <c r="I79" s="18"/>
      <c r="J79" s="17"/>
      <c r="K79" s="5"/>
      <c r="L79" s="5"/>
      <c r="M79" s="6"/>
      <c r="N79" s="6"/>
      <c r="O79" s="56"/>
      <c r="P79" s="56"/>
      <c r="Q79" s="56"/>
      <c r="R79" s="56"/>
      <c r="S79" s="7"/>
      <c r="T79" s="7"/>
    </row>
    <row r="80" spans="3:20" ht="22.05" customHeight="1" x14ac:dyDescent="0.3">
      <c r="C80" s="19"/>
      <c r="D80" s="34"/>
      <c r="E80" s="2"/>
      <c r="F80" s="2"/>
      <c r="G80" s="2"/>
      <c r="I80" s="18"/>
      <c r="J80" s="17"/>
      <c r="K80" s="5"/>
      <c r="L80" s="5"/>
      <c r="M80" s="6"/>
      <c r="N80" s="6"/>
      <c r="O80" s="56"/>
      <c r="P80" s="56"/>
      <c r="Q80" s="56"/>
      <c r="R80" s="56"/>
      <c r="S80" s="7"/>
      <c r="T80" s="7"/>
    </row>
    <row r="81" spans="3:20" ht="22.05" customHeight="1" x14ac:dyDescent="0.3">
      <c r="C81" s="19"/>
      <c r="D81" s="34"/>
      <c r="E81" s="2"/>
      <c r="F81" s="2"/>
      <c r="G81" s="2"/>
      <c r="I81" s="18"/>
      <c r="J81" s="17"/>
      <c r="K81" s="5"/>
      <c r="L81" s="5"/>
      <c r="M81" s="6"/>
      <c r="N81" s="6"/>
      <c r="O81" s="56"/>
      <c r="P81" s="56"/>
      <c r="Q81" s="56"/>
      <c r="R81" s="56"/>
      <c r="S81" s="7"/>
      <c r="T81" s="7"/>
    </row>
    <row r="82" spans="3:20" ht="22.05" customHeight="1" x14ac:dyDescent="0.3">
      <c r="C82" s="19"/>
      <c r="D82" s="34"/>
      <c r="E82" s="2"/>
      <c r="F82" s="2"/>
      <c r="G82" s="2"/>
      <c r="I82" s="18"/>
      <c r="J82" s="17"/>
      <c r="K82" s="5"/>
      <c r="L82" s="5"/>
      <c r="M82" s="6"/>
      <c r="N82" s="6"/>
      <c r="O82" s="56"/>
      <c r="P82" s="56"/>
      <c r="Q82" s="56"/>
      <c r="R82" s="56"/>
      <c r="S82" s="7"/>
      <c r="T82" s="7"/>
    </row>
    <row r="83" spans="3:20" ht="22.05" customHeight="1" x14ac:dyDescent="0.3">
      <c r="C83" s="19"/>
      <c r="D83" s="34"/>
      <c r="E83" s="2"/>
      <c r="F83" s="2"/>
      <c r="G83" s="2"/>
      <c r="I83" s="18"/>
      <c r="J83" s="17"/>
      <c r="K83" s="5"/>
      <c r="L83" s="5"/>
      <c r="M83" s="6"/>
      <c r="N83" s="6"/>
      <c r="O83" s="56"/>
      <c r="P83" s="56"/>
      <c r="Q83" s="56"/>
      <c r="R83" s="56"/>
      <c r="S83" s="7"/>
      <c r="T83" s="7"/>
    </row>
    <row r="84" spans="3:20" ht="22.05" customHeight="1" x14ac:dyDescent="0.3">
      <c r="C84" s="19"/>
      <c r="D84" s="34"/>
      <c r="E84" s="2"/>
      <c r="F84" s="2"/>
      <c r="G84" s="2"/>
      <c r="I84" s="18"/>
      <c r="J84" s="17"/>
      <c r="K84" s="5"/>
      <c r="L84" s="5"/>
      <c r="M84" s="6"/>
      <c r="N84" s="6"/>
      <c r="O84" s="56"/>
      <c r="P84" s="56"/>
      <c r="Q84" s="56"/>
      <c r="R84" s="56"/>
      <c r="S84" s="7"/>
      <c r="T84" s="7"/>
    </row>
    <row r="85" spans="3:20" ht="22.05" customHeight="1" x14ac:dyDescent="0.3">
      <c r="C85" s="19"/>
      <c r="D85" s="34"/>
      <c r="E85" s="2"/>
      <c r="F85" s="2"/>
      <c r="G85" s="2"/>
      <c r="I85" s="18"/>
      <c r="J85" s="17"/>
      <c r="K85" s="5"/>
      <c r="L85" s="5"/>
      <c r="M85" s="6"/>
      <c r="N85" s="6"/>
      <c r="O85" s="56"/>
      <c r="P85" s="56"/>
      <c r="Q85" s="56"/>
      <c r="R85" s="56"/>
      <c r="S85" s="7"/>
      <c r="T85" s="7"/>
    </row>
    <row r="86" spans="3:20" ht="22.05" customHeight="1" x14ac:dyDescent="0.3">
      <c r="C86" s="19"/>
      <c r="D86" s="34"/>
      <c r="E86" s="2"/>
      <c r="F86" s="2"/>
      <c r="G86" s="2"/>
      <c r="I86" s="18"/>
      <c r="J86" s="17"/>
      <c r="K86" s="5"/>
      <c r="L86" s="5"/>
      <c r="M86" s="6"/>
      <c r="N86" s="6"/>
      <c r="O86" s="56"/>
      <c r="P86" s="56"/>
      <c r="Q86" s="56"/>
      <c r="R86" s="56"/>
      <c r="S86" s="7"/>
      <c r="T86" s="7"/>
    </row>
    <row r="87" spans="3:20" ht="22.05" customHeight="1" x14ac:dyDescent="0.3">
      <c r="C87" s="19"/>
      <c r="D87" s="34"/>
      <c r="E87" s="2"/>
      <c r="F87" s="2"/>
      <c r="G87" s="2"/>
      <c r="I87" s="18"/>
      <c r="J87" s="17"/>
      <c r="K87" s="5"/>
      <c r="L87" s="5"/>
      <c r="M87" s="6"/>
      <c r="N87" s="6"/>
      <c r="O87" s="56"/>
      <c r="P87" s="56"/>
      <c r="Q87" s="56"/>
      <c r="R87" s="56"/>
      <c r="S87" s="7"/>
      <c r="T87" s="7"/>
    </row>
    <row r="88" spans="3:20" ht="22.05" customHeight="1" x14ac:dyDescent="0.3">
      <c r="C88" s="19"/>
      <c r="D88" s="34"/>
      <c r="E88" s="2"/>
      <c r="F88" s="2"/>
      <c r="G88" s="2"/>
      <c r="I88" s="18"/>
      <c r="J88" s="17"/>
      <c r="K88" s="5"/>
      <c r="L88" s="5"/>
      <c r="M88" s="6"/>
      <c r="N88" s="6"/>
      <c r="O88" s="56"/>
      <c r="P88" s="56"/>
      <c r="Q88" s="56"/>
      <c r="R88" s="56"/>
      <c r="S88" s="7"/>
      <c r="T88" s="7"/>
    </row>
    <row r="89" spans="3:20" ht="22.05" customHeight="1" x14ac:dyDescent="0.3">
      <c r="C89" s="19"/>
      <c r="D89" s="34"/>
      <c r="E89" s="2"/>
      <c r="F89" s="2"/>
      <c r="G89" s="2"/>
      <c r="I89" s="18"/>
      <c r="J89" s="17"/>
      <c r="K89" s="5"/>
      <c r="L89" s="5"/>
      <c r="M89" s="6"/>
      <c r="N89" s="6"/>
      <c r="O89" s="56"/>
      <c r="P89" s="56"/>
      <c r="Q89" s="56"/>
      <c r="R89" s="56"/>
      <c r="S89" s="7"/>
      <c r="T89" s="7"/>
    </row>
    <row r="90" spans="3:20" ht="22.05" customHeight="1" x14ac:dyDescent="0.3">
      <c r="C90" s="19"/>
      <c r="D90" s="34"/>
      <c r="E90" s="2"/>
      <c r="F90" s="2"/>
      <c r="G90" s="2"/>
      <c r="I90" s="18"/>
      <c r="J90" s="17"/>
      <c r="K90" s="5"/>
      <c r="L90" s="5"/>
      <c r="M90" s="6"/>
      <c r="N90" s="6"/>
      <c r="O90" s="56"/>
      <c r="P90" s="56"/>
      <c r="Q90" s="56"/>
      <c r="R90" s="56"/>
      <c r="S90" s="7"/>
      <c r="T90" s="7"/>
    </row>
    <row r="91" spans="3:20" ht="22.05" customHeight="1" x14ac:dyDescent="0.3">
      <c r="C91" s="19"/>
      <c r="D91" s="34"/>
      <c r="E91" s="2"/>
      <c r="F91" s="2"/>
      <c r="G91" s="2"/>
      <c r="I91" s="18"/>
      <c r="J91" s="17"/>
      <c r="K91" s="5"/>
      <c r="L91" s="5"/>
      <c r="M91" s="6"/>
      <c r="N91" s="6"/>
      <c r="O91" s="56"/>
      <c r="P91" s="56"/>
      <c r="Q91" s="56"/>
      <c r="R91" s="56"/>
      <c r="S91" s="7"/>
      <c r="T91" s="7"/>
    </row>
    <row r="92" spans="3:20" ht="22.05" customHeight="1" x14ac:dyDescent="0.3">
      <c r="C92" s="19"/>
      <c r="D92" s="34"/>
      <c r="E92" s="2"/>
      <c r="F92" s="2"/>
      <c r="G92" s="2"/>
      <c r="I92" s="18"/>
      <c r="J92" s="17"/>
      <c r="K92" s="5"/>
      <c r="L92" s="5"/>
      <c r="M92" s="6"/>
      <c r="N92" s="6"/>
      <c r="O92" s="56"/>
      <c r="P92" s="56"/>
      <c r="Q92" s="56"/>
      <c r="R92" s="56"/>
      <c r="S92" s="7"/>
      <c r="T92" s="7"/>
    </row>
    <row r="93" spans="3:20" ht="22.05" customHeight="1" x14ac:dyDescent="0.3">
      <c r="C93" s="19"/>
      <c r="D93" s="34"/>
      <c r="E93" s="2"/>
      <c r="F93" s="2"/>
      <c r="G93" s="2"/>
      <c r="I93" s="18"/>
      <c r="J93" s="17"/>
      <c r="K93" s="5"/>
      <c r="L93" s="5"/>
      <c r="M93" s="6"/>
      <c r="N93" s="6"/>
      <c r="O93" s="56"/>
      <c r="P93" s="56"/>
      <c r="Q93" s="56"/>
      <c r="R93" s="56"/>
      <c r="S93" s="7"/>
      <c r="T93" s="7"/>
    </row>
    <row r="94" spans="3:20" ht="22.05" customHeight="1" x14ac:dyDescent="0.3">
      <c r="C94" s="19"/>
      <c r="D94" s="34"/>
      <c r="E94" s="2"/>
      <c r="F94" s="2"/>
      <c r="G94" s="2"/>
      <c r="I94" s="18"/>
      <c r="J94" s="17"/>
      <c r="K94" s="5"/>
      <c r="L94" s="5"/>
      <c r="M94" s="6"/>
      <c r="N94" s="6"/>
      <c r="O94" s="56"/>
      <c r="P94" s="56"/>
      <c r="Q94" s="56"/>
      <c r="R94" s="56"/>
      <c r="S94" s="7"/>
      <c r="T94" s="7"/>
    </row>
    <row r="95" spans="3:20" ht="22.05" customHeight="1" x14ac:dyDescent="0.3">
      <c r="C95" s="19"/>
      <c r="D95" s="34"/>
      <c r="E95" s="2"/>
      <c r="F95" s="2"/>
      <c r="G95" s="2"/>
      <c r="I95" s="18"/>
      <c r="J95" s="17"/>
      <c r="K95" s="5"/>
      <c r="L95" s="5"/>
      <c r="M95" s="6"/>
      <c r="N95" s="6"/>
      <c r="O95" s="56"/>
      <c r="P95" s="56"/>
      <c r="Q95" s="56"/>
      <c r="R95" s="56"/>
      <c r="S95" s="7"/>
      <c r="T95" s="7"/>
    </row>
    <row r="96" spans="3:20" ht="22.05" customHeight="1" x14ac:dyDescent="0.3">
      <c r="C96" s="19"/>
      <c r="D96" s="34"/>
      <c r="E96" s="2"/>
      <c r="F96" s="2"/>
      <c r="G96" s="2"/>
      <c r="I96" s="18"/>
      <c r="J96" s="17"/>
      <c r="K96" s="5"/>
      <c r="L96" s="5"/>
      <c r="M96" s="6"/>
      <c r="N96" s="6"/>
      <c r="O96" s="56"/>
      <c r="P96" s="56"/>
      <c r="Q96" s="56"/>
      <c r="R96" s="56"/>
      <c r="S96" s="7"/>
      <c r="T96" s="7"/>
    </row>
    <row r="97" spans="3:20" ht="22.05" customHeight="1" x14ac:dyDescent="0.3">
      <c r="C97" s="19"/>
      <c r="D97" s="34"/>
      <c r="E97" s="2"/>
      <c r="F97" s="2"/>
      <c r="G97" s="2"/>
      <c r="I97" s="18"/>
      <c r="J97" s="17"/>
      <c r="K97" s="5"/>
      <c r="L97" s="5"/>
      <c r="M97" s="6"/>
      <c r="N97" s="6"/>
      <c r="O97" s="56"/>
      <c r="P97" s="56"/>
      <c r="Q97" s="56"/>
      <c r="R97" s="56"/>
      <c r="S97" s="7"/>
      <c r="T97" s="7"/>
    </row>
    <row r="98" spans="3:20" ht="22.05" customHeight="1" x14ac:dyDescent="0.3">
      <c r="C98" s="19"/>
      <c r="D98" s="34"/>
      <c r="E98" s="2"/>
      <c r="F98" s="2"/>
      <c r="G98" s="2"/>
      <c r="I98" s="18"/>
      <c r="J98" s="17"/>
      <c r="K98" s="5"/>
      <c r="L98" s="5"/>
      <c r="M98" s="6"/>
      <c r="N98" s="6"/>
      <c r="O98" s="56"/>
      <c r="P98" s="56"/>
      <c r="Q98" s="56"/>
      <c r="R98" s="56"/>
      <c r="S98" s="7"/>
      <c r="T98" s="7"/>
    </row>
    <row r="99" spans="3:20" ht="22.05" customHeight="1" thickBot="1" x14ac:dyDescent="0.35">
      <c r="C99" s="20"/>
      <c r="D99" s="42"/>
      <c r="E99" s="43"/>
      <c r="F99" s="43"/>
      <c r="G99" s="43"/>
      <c r="I99" s="44"/>
      <c r="J99" s="45"/>
      <c r="K99" s="46"/>
      <c r="L99" s="46"/>
      <c r="M99" s="47"/>
      <c r="N99" s="47"/>
      <c r="O99" s="56"/>
      <c r="P99" s="56"/>
      <c r="Q99" s="56"/>
      <c r="R99" s="56"/>
      <c r="S99" s="48"/>
      <c r="T99" s="48"/>
    </row>
    <row r="100" spans="3:20" ht="18" customHeight="1" x14ac:dyDescent="0.3">
      <c r="E100" s="3"/>
      <c r="I100" s="12">
        <f>SUM(I4:I99)</f>
        <v>0</v>
      </c>
      <c r="J100" s="12">
        <f>SUM(J4:J99)</f>
        <v>0</v>
      </c>
      <c r="N100"/>
      <c r="Q100" s="59"/>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142C6-883F-49A8-AD7D-36D3EF27AB5F}">
  <sheetPr codeName="Tabelle3"/>
  <dimension ref="A1:S100"/>
  <sheetViews>
    <sheetView zoomScale="55" zoomScaleNormal="55" workbookViewId="0">
      <selection activeCell="V17" sqref="V17"/>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9" max="9" width="16.33203125" style="1" bestFit="1" customWidth="1"/>
    <col min="10" max="10" width="13.77734375" style="1" customWidth="1"/>
    <col min="11" max="11" width="15.5546875" customWidth="1"/>
    <col min="14" max="14" width="17.77734375" style="1" customWidth="1"/>
    <col min="15" max="15" width="18.6640625" style="1" customWidth="1"/>
    <col min="16" max="19" width="13.77734375" style="1" customWidth="1"/>
    <col min="20" max="16384" width="11.5546875" style="1"/>
  </cols>
  <sheetData>
    <row r="1" spans="1:19" ht="41.4" customHeight="1" thickBot="1" x14ac:dyDescent="0.35">
      <c r="A1" s="158" t="s">
        <v>62</v>
      </c>
      <c r="B1" s="159"/>
      <c r="C1" s="160" t="s">
        <v>12</v>
      </c>
      <c r="D1" s="161" t="s">
        <v>0</v>
      </c>
      <c r="E1" s="1"/>
      <c r="F1" s="1"/>
      <c r="G1" s="1"/>
      <c r="H1" s="1"/>
      <c r="K1" s="1"/>
      <c r="L1" s="1"/>
      <c r="M1" s="1"/>
    </row>
    <row r="2" spans="1:19" ht="22.05" customHeight="1" x14ac:dyDescent="0.45">
      <c r="A2" s="4"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19" ht="22.05" customHeight="1" thickBot="1" x14ac:dyDescent="0.5">
      <c r="A3" s="4"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row>
    <row r="4" spans="1:19" ht="22.05" customHeight="1" x14ac:dyDescent="0.45">
      <c r="A4" s="4" t="s">
        <v>3</v>
      </c>
      <c r="B4" s="35">
        <v>0.1</v>
      </c>
      <c r="C4" s="49">
        <v>1</v>
      </c>
      <c r="D4" s="114">
        <v>43265.041666666664</v>
      </c>
      <c r="E4" s="51">
        <v>2.0122429094914316</v>
      </c>
      <c r="F4" s="17">
        <v>0</v>
      </c>
      <c r="G4" s="54">
        <v>10</v>
      </c>
      <c r="H4" s="54">
        <v>5</v>
      </c>
      <c r="I4" s="36">
        <v>0</v>
      </c>
      <c r="J4" s="36">
        <v>0</v>
      </c>
      <c r="K4" s="36">
        <v>0</v>
      </c>
      <c r="L4" s="53">
        <v>0</v>
      </c>
      <c r="M4" s="53">
        <v>0</v>
      </c>
      <c r="N4" s="130">
        <v>0</v>
      </c>
      <c r="O4" s="130">
        <v>0</v>
      </c>
      <c r="P4" s="56">
        <v>0</v>
      </c>
      <c r="Q4" s="56">
        <v>0</v>
      </c>
      <c r="R4" s="56">
        <v>0</v>
      </c>
      <c r="S4" s="56">
        <v>0</v>
      </c>
    </row>
    <row r="5" spans="1:19" ht="22.05" customHeight="1" x14ac:dyDescent="0.45">
      <c r="A5" s="4" t="s">
        <v>4</v>
      </c>
      <c r="B5" s="35">
        <v>5</v>
      </c>
      <c r="C5" s="19">
        <v>2</v>
      </c>
      <c r="D5" s="114">
        <v>43265.083333333336</v>
      </c>
      <c r="E5" s="18">
        <v>0.84726017241744489</v>
      </c>
      <c r="F5" s="17">
        <v>0</v>
      </c>
      <c r="G5" s="6">
        <v>10</v>
      </c>
      <c r="H5" s="6">
        <v>5</v>
      </c>
      <c r="I5" s="2">
        <v>0</v>
      </c>
      <c r="J5" s="2">
        <v>0</v>
      </c>
      <c r="K5" s="2">
        <v>0</v>
      </c>
      <c r="L5" s="5">
        <v>0</v>
      </c>
      <c r="M5" s="5">
        <v>0</v>
      </c>
      <c r="N5" s="130">
        <v>0</v>
      </c>
      <c r="O5" s="130">
        <v>0</v>
      </c>
      <c r="P5" s="56">
        <v>0</v>
      </c>
      <c r="Q5" s="56">
        <v>0</v>
      </c>
      <c r="R5" s="56">
        <v>0</v>
      </c>
      <c r="S5" s="56">
        <v>0</v>
      </c>
    </row>
    <row r="6" spans="1:19" ht="22.05" customHeight="1" x14ac:dyDescent="0.45">
      <c r="A6" s="4" t="s">
        <v>5</v>
      </c>
      <c r="B6" s="35">
        <v>0.5</v>
      </c>
      <c r="C6" s="19">
        <v>3</v>
      </c>
      <c r="D6" s="114">
        <v>43265.125</v>
      </c>
      <c r="E6" s="18">
        <v>1.1649827370739867</v>
      </c>
      <c r="F6" s="17">
        <v>0</v>
      </c>
      <c r="G6" s="6">
        <v>10</v>
      </c>
      <c r="H6" s="6">
        <v>5</v>
      </c>
      <c r="I6" s="2">
        <v>0</v>
      </c>
      <c r="J6" s="2">
        <v>0</v>
      </c>
      <c r="K6" s="2">
        <v>0</v>
      </c>
      <c r="L6" s="5">
        <v>0</v>
      </c>
      <c r="M6" s="5">
        <v>0</v>
      </c>
      <c r="N6" s="130">
        <v>0</v>
      </c>
      <c r="O6" s="130">
        <v>0</v>
      </c>
      <c r="P6" s="56">
        <v>0</v>
      </c>
      <c r="Q6" s="56">
        <v>0</v>
      </c>
      <c r="R6" s="56">
        <v>0</v>
      </c>
      <c r="S6" s="56">
        <v>0</v>
      </c>
    </row>
    <row r="7" spans="1:19" ht="22.05" customHeight="1" x14ac:dyDescent="0.45">
      <c r="A7" s="4" t="s">
        <v>6</v>
      </c>
      <c r="B7" s="35">
        <v>20</v>
      </c>
      <c r="C7" s="19">
        <v>4</v>
      </c>
      <c r="D7" s="114">
        <v>43265.166666666664</v>
      </c>
      <c r="E7" s="18">
        <v>1.4827053017305287</v>
      </c>
      <c r="F7" s="17">
        <v>0</v>
      </c>
      <c r="G7" s="6">
        <v>10</v>
      </c>
      <c r="H7" s="6">
        <v>5</v>
      </c>
      <c r="I7" s="2">
        <v>0</v>
      </c>
      <c r="J7" s="2">
        <v>0</v>
      </c>
      <c r="K7" s="2">
        <v>0</v>
      </c>
      <c r="L7" s="5">
        <v>0</v>
      </c>
      <c r="M7" s="5">
        <v>0</v>
      </c>
      <c r="N7" s="130">
        <v>0</v>
      </c>
      <c r="O7" s="130">
        <v>0</v>
      </c>
      <c r="P7" s="56">
        <v>0</v>
      </c>
      <c r="Q7" s="56">
        <v>0</v>
      </c>
      <c r="R7" s="56">
        <v>0</v>
      </c>
      <c r="S7" s="56">
        <v>0</v>
      </c>
    </row>
    <row r="8" spans="1:19" ht="22.05" customHeight="1" x14ac:dyDescent="0.45">
      <c r="A8" s="4" t="s">
        <v>7</v>
      </c>
      <c r="B8" s="35">
        <v>1</v>
      </c>
      <c r="C8" s="19">
        <v>5</v>
      </c>
      <c r="D8" s="114">
        <v>43265.208333333336</v>
      </c>
      <c r="E8" s="18">
        <v>1.5886128232827095</v>
      </c>
      <c r="F8" s="17">
        <v>0</v>
      </c>
      <c r="G8" s="6">
        <v>10</v>
      </c>
      <c r="H8" s="6">
        <v>5</v>
      </c>
      <c r="I8" s="2">
        <v>0</v>
      </c>
      <c r="J8" s="2">
        <v>0</v>
      </c>
      <c r="K8" s="2">
        <v>0</v>
      </c>
      <c r="L8" s="5">
        <v>0</v>
      </c>
      <c r="M8" s="5">
        <v>0</v>
      </c>
      <c r="N8" s="130">
        <v>0</v>
      </c>
      <c r="O8" s="130">
        <v>0</v>
      </c>
      <c r="P8" s="56">
        <v>0</v>
      </c>
      <c r="Q8" s="56">
        <v>0</v>
      </c>
      <c r="R8" s="56">
        <v>0</v>
      </c>
      <c r="S8" s="56">
        <v>0</v>
      </c>
    </row>
    <row r="9" spans="1:19" ht="22.05" customHeight="1" x14ac:dyDescent="0.45">
      <c r="A9" s="4" t="s">
        <v>8</v>
      </c>
      <c r="B9" s="35">
        <v>20</v>
      </c>
      <c r="C9" s="19">
        <v>6</v>
      </c>
      <c r="D9" s="114">
        <v>43265.25</v>
      </c>
      <c r="E9" s="18">
        <v>3.4949482112219608</v>
      </c>
      <c r="F9" s="17">
        <v>0</v>
      </c>
      <c r="G9" s="6">
        <v>10</v>
      </c>
      <c r="H9" s="6">
        <v>5</v>
      </c>
      <c r="I9" s="2">
        <v>0</v>
      </c>
      <c r="J9" s="2">
        <v>0</v>
      </c>
      <c r="K9" s="2">
        <v>0</v>
      </c>
      <c r="L9" s="5">
        <v>0</v>
      </c>
      <c r="M9" s="5">
        <v>0</v>
      </c>
      <c r="N9" s="130">
        <v>0</v>
      </c>
      <c r="O9" s="130">
        <v>0</v>
      </c>
      <c r="P9" s="56">
        <v>0</v>
      </c>
      <c r="Q9" s="56">
        <v>0</v>
      </c>
      <c r="R9" s="56">
        <v>0</v>
      </c>
      <c r="S9" s="56">
        <v>0</v>
      </c>
    </row>
    <row r="10" spans="1:19" ht="22.05" customHeight="1" x14ac:dyDescent="0.45">
      <c r="A10" s="4" t="s">
        <v>31</v>
      </c>
      <c r="B10" s="35">
        <v>20</v>
      </c>
      <c r="C10" s="19">
        <v>7</v>
      </c>
      <c r="D10" s="114">
        <v>43265.291666666664</v>
      </c>
      <c r="E10" s="18">
        <v>9.3198618965918953</v>
      </c>
      <c r="F10" s="17">
        <v>0</v>
      </c>
      <c r="G10" s="6">
        <v>10</v>
      </c>
      <c r="H10" s="6">
        <v>5</v>
      </c>
      <c r="I10" s="2">
        <v>0</v>
      </c>
      <c r="J10" s="2">
        <v>0</v>
      </c>
      <c r="K10" s="2">
        <v>0</v>
      </c>
      <c r="L10" s="5">
        <v>0</v>
      </c>
      <c r="M10" s="5">
        <v>0</v>
      </c>
      <c r="N10" s="130">
        <v>0</v>
      </c>
      <c r="O10" s="130">
        <v>0</v>
      </c>
      <c r="P10" s="56">
        <v>0</v>
      </c>
      <c r="Q10" s="56">
        <v>0</v>
      </c>
      <c r="R10" s="56">
        <v>0</v>
      </c>
      <c r="S10" s="56">
        <v>0</v>
      </c>
    </row>
    <row r="11" spans="1:19" ht="22.05" customHeight="1" x14ac:dyDescent="0.45">
      <c r="A11" s="4" t="s">
        <v>9</v>
      </c>
      <c r="B11" s="35">
        <v>10</v>
      </c>
      <c r="C11" s="19">
        <v>8</v>
      </c>
      <c r="D11" s="114">
        <v>43265.333333333336</v>
      </c>
      <c r="E11" s="18">
        <v>11.332104806083327</v>
      </c>
      <c r="F11" s="17">
        <v>0.90355329949238572</v>
      </c>
      <c r="G11" s="6">
        <v>10</v>
      </c>
      <c r="H11" s="6">
        <v>5</v>
      </c>
      <c r="I11" s="2">
        <v>0</v>
      </c>
      <c r="J11" s="2">
        <v>0</v>
      </c>
      <c r="K11" s="2">
        <v>0</v>
      </c>
      <c r="L11" s="5">
        <v>0</v>
      </c>
      <c r="M11" s="5">
        <v>0</v>
      </c>
      <c r="N11" s="130">
        <v>0</v>
      </c>
      <c r="O11" s="130">
        <v>0</v>
      </c>
      <c r="P11" s="56">
        <v>0</v>
      </c>
      <c r="Q11" s="56">
        <v>0</v>
      </c>
      <c r="R11" s="56">
        <v>0</v>
      </c>
      <c r="S11" s="56">
        <v>0</v>
      </c>
    </row>
    <row r="12" spans="1:19" ht="22.05" customHeight="1" x14ac:dyDescent="0.45">
      <c r="A12" s="4" t="s">
        <v>15</v>
      </c>
      <c r="B12" s="35">
        <v>10</v>
      </c>
      <c r="C12" s="19">
        <v>9</v>
      </c>
      <c r="D12" s="114">
        <v>43265.375</v>
      </c>
      <c r="E12" s="18">
        <v>10.273029590561521</v>
      </c>
      <c r="F12" s="17">
        <v>4.969543147208122</v>
      </c>
      <c r="G12" s="6">
        <v>10</v>
      </c>
      <c r="H12" s="6">
        <v>5</v>
      </c>
      <c r="I12" s="2">
        <v>0</v>
      </c>
      <c r="J12" s="2">
        <v>0</v>
      </c>
      <c r="K12" s="2">
        <v>0</v>
      </c>
      <c r="L12" s="5">
        <v>0</v>
      </c>
      <c r="M12" s="5">
        <v>0</v>
      </c>
      <c r="N12" s="130">
        <v>0</v>
      </c>
      <c r="O12" s="130">
        <v>0</v>
      </c>
      <c r="P12" s="56">
        <v>0</v>
      </c>
      <c r="Q12" s="56">
        <v>0</v>
      </c>
      <c r="R12" s="56">
        <v>0</v>
      </c>
      <c r="S12" s="56">
        <v>0</v>
      </c>
    </row>
    <row r="13" spans="1:19" ht="22.05" customHeight="1" x14ac:dyDescent="0.45">
      <c r="A13" s="4" t="s">
        <v>32</v>
      </c>
      <c r="B13" s="35">
        <v>24</v>
      </c>
      <c r="C13" s="19">
        <v>10</v>
      </c>
      <c r="D13" s="114">
        <v>43265.416666666664</v>
      </c>
      <c r="E13" s="18">
        <v>8.8962318103831741</v>
      </c>
      <c r="F13" s="17">
        <v>7.860913705583755</v>
      </c>
      <c r="G13" s="6">
        <v>10</v>
      </c>
      <c r="H13" s="6">
        <v>5</v>
      </c>
      <c r="I13" s="2">
        <v>0</v>
      </c>
      <c r="J13" s="2">
        <v>0</v>
      </c>
      <c r="K13" s="2">
        <v>0</v>
      </c>
      <c r="L13" s="5">
        <v>0</v>
      </c>
      <c r="M13" s="5">
        <v>0</v>
      </c>
      <c r="N13" s="130">
        <v>0</v>
      </c>
      <c r="O13" s="130">
        <v>0</v>
      </c>
      <c r="P13" s="56">
        <v>0</v>
      </c>
      <c r="Q13" s="56">
        <v>0</v>
      </c>
      <c r="R13" s="56">
        <v>0</v>
      </c>
      <c r="S13" s="56">
        <v>0</v>
      </c>
    </row>
    <row r="14" spans="1:19" ht="22.05" customHeight="1" x14ac:dyDescent="0.45">
      <c r="A14" s="128" t="s">
        <v>10</v>
      </c>
      <c r="B14" s="129"/>
      <c r="C14" s="19">
        <v>11</v>
      </c>
      <c r="D14" s="114">
        <v>43265.458333333336</v>
      </c>
      <c r="E14" s="18">
        <v>9.5316769396962577</v>
      </c>
      <c r="F14" s="17">
        <v>9.306598984771572</v>
      </c>
      <c r="G14" s="6">
        <v>10</v>
      </c>
      <c r="H14" s="6">
        <v>5</v>
      </c>
      <c r="I14" s="2">
        <v>0</v>
      </c>
      <c r="J14" s="2">
        <v>0</v>
      </c>
      <c r="K14" s="2">
        <v>0</v>
      </c>
      <c r="L14" s="5">
        <v>0</v>
      </c>
      <c r="M14" s="5">
        <v>0</v>
      </c>
      <c r="N14" s="130">
        <v>0</v>
      </c>
      <c r="O14" s="130">
        <v>0</v>
      </c>
      <c r="P14" s="56">
        <v>0</v>
      </c>
      <c r="Q14" s="56">
        <v>0</v>
      </c>
      <c r="R14" s="56">
        <v>0</v>
      </c>
      <c r="S14" s="56">
        <v>0</v>
      </c>
    </row>
    <row r="15" spans="1:19" ht="22.05" customHeight="1" x14ac:dyDescent="0.45">
      <c r="A15" s="164">
        <v>0</v>
      </c>
      <c r="B15" s="165"/>
      <c r="C15" s="19">
        <v>12</v>
      </c>
      <c r="D15" s="114">
        <v>43265.5</v>
      </c>
      <c r="E15" s="18">
        <v>10.908474719874606</v>
      </c>
      <c r="F15" s="17">
        <v>10.390862944162436</v>
      </c>
      <c r="G15" s="6">
        <v>10</v>
      </c>
      <c r="H15" s="6">
        <v>5</v>
      </c>
      <c r="I15" s="2">
        <v>0</v>
      </c>
      <c r="J15" s="2">
        <v>0</v>
      </c>
      <c r="K15" s="2">
        <v>0</v>
      </c>
      <c r="L15" s="5">
        <v>0</v>
      </c>
      <c r="M15" s="5">
        <v>0</v>
      </c>
      <c r="N15" s="130">
        <v>0</v>
      </c>
      <c r="O15" s="130">
        <v>0</v>
      </c>
      <c r="P15" s="56">
        <v>0</v>
      </c>
      <c r="Q15" s="56">
        <v>0</v>
      </c>
      <c r="R15" s="56">
        <v>0</v>
      </c>
      <c r="S15" s="56">
        <v>0</v>
      </c>
    </row>
    <row r="16" spans="1:19" ht="22.05" customHeight="1" x14ac:dyDescent="0.45">
      <c r="A16" s="164">
        <v>0</v>
      </c>
      <c r="B16" s="165"/>
      <c r="C16" s="19">
        <v>13</v>
      </c>
      <c r="D16" s="114">
        <v>43265.541666666664</v>
      </c>
      <c r="E16" s="18">
        <v>12.708902586261676</v>
      </c>
      <c r="F16" s="17">
        <v>11.113705583756348</v>
      </c>
      <c r="G16" s="6">
        <v>10</v>
      </c>
      <c r="H16" s="6">
        <v>5</v>
      </c>
      <c r="I16" s="2">
        <v>0</v>
      </c>
      <c r="J16" s="2">
        <v>0</v>
      </c>
      <c r="K16" s="2">
        <v>0</v>
      </c>
      <c r="L16" s="5">
        <v>0</v>
      </c>
      <c r="M16" s="5">
        <v>0</v>
      </c>
      <c r="N16" s="130">
        <v>0</v>
      </c>
      <c r="O16" s="130">
        <v>0</v>
      </c>
      <c r="P16" s="56">
        <v>0</v>
      </c>
      <c r="Q16" s="56">
        <v>0</v>
      </c>
      <c r="R16" s="56">
        <v>0</v>
      </c>
      <c r="S16" s="56">
        <v>0</v>
      </c>
    </row>
    <row r="17" spans="1:19" ht="22.05" customHeight="1" x14ac:dyDescent="0.3">
      <c r="A17" s="8"/>
      <c r="B17" s="8"/>
      <c r="C17" s="19">
        <v>14</v>
      </c>
      <c r="D17" s="114">
        <v>43265.583333333336</v>
      </c>
      <c r="E17" s="18">
        <v>10.802567198322423</v>
      </c>
      <c r="F17" s="17">
        <v>10.481218274111676</v>
      </c>
      <c r="G17" s="6">
        <v>10</v>
      </c>
      <c r="H17" s="6">
        <v>5</v>
      </c>
      <c r="I17" s="2">
        <v>0</v>
      </c>
      <c r="J17" s="2">
        <v>0</v>
      </c>
      <c r="K17" s="2">
        <v>0</v>
      </c>
      <c r="L17" s="5">
        <v>0</v>
      </c>
      <c r="M17" s="5">
        <v>0</v>
      </c>
      <c r="N17" s="130">
        <v>0</v>
      </c>
      <c r="O17" s="130">
        <v>0</v>
      </c>
      <c r="P17" s="56">
        <v>0</v>
      </c>
      <c r="Q17" s="56">
        <v>0</v>
      </c>
      <c r="R17" s="56">
        <v>0</v>
      </c>
      <c r="S17" s="56">
        <v>0</v>
      </c>
    </row>
    <row r="18" spans="1:19" ht="22.05" customHeight="1" x14ac:dyDescent="0.3">
      <c r="A18" s="8"/>
      <c r="B18" s="8"/>
      <c r="C18" s="19">
        <v>15</v>
      </c>
      <c r="D18" s="114">
        <v>43265.625</v>
      </c>
      <c r="E18" s="18">
        <v>9.9553070259049807</v>
      </c>
      <c r="F18" s="17">
        <v>9.7583756345177672</v>
      </c>
      <c r="G18" s="6">
        <v>10</v>
      </c>
      <c r="H18" s="6">
        <v>5</v>
      </c>
      <c r="I18" s="2">
        <v>0</v>
      </c>
      <c r="J18" s="2">
        <v>0</v>
      </c>
      <c r="K18" s="2">
        <v>0</v>
      </c>
      <c r="L18" s="5">
        <v>0</v>
      </c>
      <c r="M18" s="5">
        <v>0</v>
      </c>
      <c r="N18" s="130">
        <v>0</v>
      </c>
      <c r="O18" s="130">
        <v>0</v>
      </c>
      <c r="P18" s="56">
        <v>0</v>
      </c>
      <c r="Q18" s="56">
        <v>0</v>
      </c>
      <c r="R18" s="56">
        <v>0</v>
      </c>
      <c r="S18" s="56">
        <v>0</v>
      </c>
    </row>
    <row r="19" spans="1:19" ht="22.05" customHeight="1" x14ac:dyDescent="0.45">
      <c r="A19" s="157"/>
      <c r="B19" s="157"/>
      <c r="C19" s="19">
        <v>16</v>
      </c>
      <c r="D19" s="114">
        <v>43265.666666666664</v>
      </c>
      <c r="E19" s="18">
        <v>10.908474719874604</v>
      </c>
      <c r="F19" s="17">
        <v>8.9451776649746204</v>
      </c>
      <c r="G19" s="6">
        <v>10</v>
      </c>
      <c r="H19" s="6">
        <v>5</v>
      </c>
      <c r="I19" s="2">
        <v>0</v>
      </c>
      <c r="J19" s="2">
        <v>0</v>
      </c>
      <c r="K19" s="2">
        <v>0</v>
      </c>
      <c r="L19" s="5">
        <v>0</v>
      </c>
      <c r="M19" s="5">
        <v>0</v>
      </c>
      <c r="N19" s="130">
        <v>0</v>
      </c>
      <c r="O19" s="130">
        <v>0</v>
      </c>
      <c r="P19" s="56">
        <v>0</v>
      </c>
      <c r="Q19" s="56">
        <v>0</v>
      </c>
      <c r="R19" s="56">
        <v>0</v>
      </c>
      <c r="S19" s="56">
        <v>0</v>
      </c>
    </row>
    <row r="20" spans="1:19" ht="22.05" customHeight="1" x14ac:dyDescent="0.3">
      <c r="A20" s="9"/>
      <c r="B20" s="9"/>
      <c r="C20" s="19">
        <v>17</v>
      </c>
      <c r="D20" s="114">
        <v>43265.708333333336</v>
      </c>
      <c r="E20" s="18">
        <v>9.5316769396962577</v>
      </c>
      <c r="F20" s="17">
        <v>6.5959390862944165</v>
      </c>
      <c r="G20" s="6">
        <v>10</v>
      </c>
      <c r="H20" s="6">
        <v>5</v>
      </c>
      <c r="I20" s="2">
        <v>0</v>
      </c>
      <c r="J20" s="2">
        <v>0</v>
      </c>
      <c r="K20" s="2">
        <v>0</v>
      </c>
      <c r="L20" s="5">
        <v>0</v>
      </c>
      <c r="M20" s="5">
        <v>0</v>
      </c>
      <c r="N20" s="130">
        <v>0</v>
      </c>
      <c r="O20" s="130">
        <v>0</v>
      </c>
      <c r="P20" s="56">
        <v>0</v>
      </c>
      <c r="Q20" s="56">
        <v>0</v>
      </c>
      <c r="R20" s="56">
        <v>0</v>
      </c>
      <c r="S20" s="56">
        <v>0</v>
      </c>
    </row>
    <row r="21" spans="1:19" ht="22.05" customHeight="1" x14ac:dyDescent="0.3">
      <c r="C21" s="19">
        <v>18</v>
      </c>
      <c r="D21" s="114">
        <v>43265.75</v>
      </c>
      <c r="E21" s="18">
        <v>8.4726017241744493</v>
      </c>
      <c r="F21" s="17">
        <v>5.1502538071065995</v>
      </c>
      <c r="G21" s="6">
        <v>10</v>
      </c>
      <c r="H21" s="6">
        <v>5</v>
      </c>
      <c r="I21" s="2">
        <v>0</v>
      </c>
      <c r="J21" s="2">
        <v>0</v>
      </c>
      <c r="K21" s="2">
        <v>0</v>
      </c>
      <c r="L21" s="5">
        <v>0</v>
      </c>
      <c r="M21" s="5">
        <v>0</v>
      </c>
      <c r="N21" s="130">
        <v>0</v>
      </c>
      <c r="O21" s="130">
        <v>0</v>
      </c>
      <c r="P21" s="56">
        <v>0</v>
      </c>
      <c r="Q21" s="56">
        <v>0</v>
      </c>
      <c r="R21" s="56">
        <v>0</v>
      </c>
      <c r="S21" s="56">
        <v>0</v>
      </c>
    </row>
    <row r="22" spans="1:19" ht="22.05" customHeight="1" x14ac:dyDescent="0.3">
      <c r="C22" s="19">
        <v>19</v>
      </c>
      <c r="D22" s="114">
        <v>43265.791666666664</v>
      </c>
      <c r="E22" s="18">
        <v>14.615237974200927</v>
      </c>
      <c r="F22" s="17">
        <v>2.8010152284263961</v>
      </c>
      <c r="G22" s="6">
        <v>10</v>
      </c>
      <c r="H22" s="6">
        <v>5</v>
      </c>
      <c r="I22" s="2">
        <v>0</v>
      </c>
      <c r="J22" s="2">
        <v>0</v>
      </c>
      <c r="K22" s="2">
        <v>0</v>
      </c>
      <c r="L22" s="5">
        <v>0</v>
      </c>
      <c r="M22" s="5">
        <v>0</v>
      </c>
      <c r="N22" s="130">
        <v>0</v>
      </c>
      <c r="O22" s="130">
        <v>0</v>
      </c>
      <c r="P22" s="56">
        <v>0</v>
      </c>
      <c r="Q22" s="56">
        <v>0</v>
      </c>
      <c r="R22" s="56">
        <v>0</v>
      </c>
      <c r="S22" s="56">
        <v>0</v>
      </c>
    </row>
    <row r="23" spans="1:19" ht="22.05" customHeight="1" x14ac:dyDescent="0.3">
      <c r="C23" s="19">
        <v>20</v>
      </c>
      <c r="D23" s="114">
        <v>43265.833333333336</v>
      </c>
      <c r="E23" s="18">
        <v>10.802567198322425</v>
      </c>
      <c r="F23" s="17">
        <v>0.72284263959390871</v>
      </c>
      <c r="G23" s="6">
        <v>10</v>
      </c>
      <c r="H23" s="6">
        <v>5</v>
      </c>
      <c r="I23" s="2">
        <v>0</v>
      </c>
      <c r="J23" s="2">
        <v>0</v>
      </c>
      <c r="K23" s="2">
        <v>0</v>
      </c>
      <c r="L23" s="5">
        <v>0</v>
      </c>
      <c r="M23" s="5">
        <v>0</v>
      </c>
      <c r="N23" s="130">
        <v>0</v>
      </c>
      <c r="O23" s="130">
        <v>0</v>
      </c>
      <c r="P23" s="56">
        <v>0</v>
      </c>
      <c r="Q23" s="56">
        <v>0</v>
      </c>
      <c r="R23" s="56">
        <v>0</v>
      </c>
      <c r="S23" s="56">
        <v>0</v>
      </c>
    </row>
    <row r="24" spans="1:19" ht="22.05" customHeight="1" x14ac:dyDescent="0.3">
      <c r="C24" s="19">
        <v>21</v>
      </c>
      <c r="D24" s="114">
        <v>43265.875</v>
      </c>
      <c r="E24" s="18">
        <v>11.967549935396409</v>
      </c>
      <c r="F24" s="17">
        <v>0</v>
      </c>
      <c r="G24" s="6">
        <v>10</v>
      </c>
      <c r="H24" s="6">
        <v>5</v>
      </c>
      <c r="I24" s="2">
        <v>0</v>
      </c>
      <c r="J24" s="2">
        <v>0</v>
      </c>
      <c r="K24" s="2">
        <v>0</v>
      </c>
      <c r="L24" s="5">
        <v>0</v>
      </c>
      <c r="M24" s="5">
        <v>0</v>
      </c>
      <c r="N24" s="130">
        <v>0</v>
      </c>
      <c r="O24" s="130">
        <v>0</v>
      </c>
      <c r="P24" s="56">
        <v>0</v>
      </c>
      <c r="Q24" s="56">
        <v>0</v>
      </c>
      <c r="R24" s="56">
        <v>0</v>
      </c>
      <c r="S24" s="56">
        <v>0</v>
      </c>
    </row>
    <row r="25" spans="1:19" ht="22.05" customHeight="1" x14ac:dyDescent="0.3">
      <c r="C25" s="19">
        <v>22</v>
      </c>
      <c r="D25" s="114">
        <v>43265.916666666664</v>
      </c>
      <c r="E25" s="18">
        <v>14.344114719027345</v>
      </c>
      <c r="F25" s="17">
        <v>0</v>
      </c>
      <c r="G25" s="6">
        <v>10</v>
      </c>
      <c r="H25" s="6">
        <v>5</v>
      </c>
      <c r="I25" s="2">
        <v>0</v>
      </c>
      <c r="J25" s="2">
        <v>0</v>
      </c>
      <c r="K25" s="2">
        <v>0</v>
      </c>
      <c r="L25" s="5">
        <v>0</v>
      </c>
      <c r="M25" s="5">
        <v>0</v>
      </c>
      <c r="N25" s="130">
        <v>0</v>
      </c>
      <c r="O25" s="130">
        <v>0</v>
      </c>
      <c r="P25" s="56">
        <v>0</v>
      </c>
      <c r="Q25" s="56">
        <v>0</v>
      </c>
      <c r="R25" s="56">
        <v>0</v>
      </c>
      <c r="S25" s="56">
        <v>0</v>
      </c>
    </row>
    <row r="26" spans="1:19" ht="22.05" customHeight="1" x14ac:dyDescent="0.3">
      <c r="C26" s="19">
        <v>23</v>
      </c>
      <c r="D26" s="114">
        <v>43265.958333333336</v>
      </c>
      <c r="E26" s="18">
        <v>10.06121454745716</v>
      </c>
      <c r="F26" s="17">
        <v>0</v>
      </c>
      <c r="G26" s="6">
        <v>10</v>
      </c>
      <c r="H26" s="6">
        <v>5</v>
      </c>
      <c r="I26" s="2">
        <v>0</v>
      </c>
      <c r="J26" s="2">
        <v>0</v>
      </c>
      <c r="K26" s="2">
        <v>0</v>
      </c>
      <c r="L26" s="5">
        <v>0</v>
      </c>
      <c r="M26" s="5">
        <v>0</v>
      </c>
      <c r="N26" s="130">
        <v>0</v>
      </c>
      <c r="O26" s="130">
        <v>0</v>
      </c>
      <c r="P26" s="56">
        <v>0</v>
      </c>
      <c r="Q26" s="56">
        <v>0</v>
      </c>
      <c r="R26" s="56">
        <v>0</v>
      </c>
      <c r="S26" s="56">
        <v>0</v>
      </c>
    </row>
    <row r="27" spans="1:19" ht="22.05" customHeight="1" x14ac:dyDescent="0.3">
      <c r="C27" s="19">
        <v>24</v>
      </c>
      <c r="D27" s="114">
        <v>43266</v>
      </c>
      <c r="E27" s="18">
        <v>4.9776535129524877</v>
      </c>
      <c r="F27" s="17">
        <v>0</v>
      </c>
      <c r="G27" s="6">
        <v>10</v>
      </c>
      <c r="H27" s="6">
        <v>5</v>
      </c>
      <c r="I27" s="2">
        <v>0</v>
      </c>
      <c r="J27" s="2">
        <v>0</v>
      </c>
      <c r="K27" s="2">
        <v>0</v>
      </c>
      <c r="L27" s="5">
        <v>0</v>
      </c>
      <c r="M27" s="5">
        <v>0</v>
      </c>
      <c r="N27" s="130">
        <v>0</v>
      </c>
      <c r="O27" s="130">
        <v>0</v>
      </c>
      <c r="P27" s="56">
        <v>0</v>
      </c>
      <c r="Q27" s="56">
        <v>0</v>
      </c>
      <c r="R27" s="56">
        <v>0</v>
      </c>
      <c r="S27" s="56">
        <v>0</v>
      </c>
    </row>
    <row r="28" spans="1:19" ht="22.05" customHeight="1" x14ac:dyDescent="0.3">
      <c r="C28" s="19"/>
      <c r="D28" s="34"/>
      <c r="E28" s="18"/>
      <c r="F28" s="17"/>
      <c r="G28" s="6"/>
      <c r="H28" s="6"/>
      <c r="I28" s="2"/>
      <c r="J28" s="2"/>
      <c r="K28" s="2"/>
      <c r="L28" s="5"/>
      <c r="M28" s="5"/>
      <c r="P28" s="56"/>
      <c r="Q28" s="56"/>
      <c r="R28" s="56"/>
      <c r="S28" s="56"/>
    </row>
    <row r="29" spans="1:19" ht="22.05" customHeight="1" x14ac:dyDescent="0.3">
      <c r="C29" s="19"/>
      <c r="D29" s="34"/>
      <c r="E29" s="18"/>
      <c r="F29" s="17"/>
      <c r="G29" s="6"/>
      <c r="H29" s="6"/>
      <c r="I29" s="2"/>
      <c r="J29" s="2"/>
      <c r="K29" s="2"/>
      <c r="L29" s="5"/>
      <c r="M29" s="5"/>
      <c r="P29" s="56"/>
      <c r="Q29" s="56"/>
      <c r="R29" s="56"/>
      <c r="S29" s="56"/>
    </row>
    <row r="30" spans="1:19" ht="22.05" customHeight="1" x14ac:dyDescent="0.3">
      <c r="C30" s="19"/>
      <c r="D30" s="34"/>
      <c r="E30" s="18"/>
      <c r="F30" s="17"/>
      <c r="G30" s="6"/>
      <c r="H30" s="6"/>
      <c r="I30" s="2"/>
      <c r="J30" s="2"/>
      <c r="K30" s="2"/>
      <c r="L30" s="5"/>
      <c r="M30" s="5"/>
      <c r="P30" s="56"/>
      <c r="Q30" s="56"/>
      <c r="R30" s="56"/>
      <c r="S30" s="56"/>
    </row>
    <row r="31" spans="1:19" ht="22.05" customHeight="1" x14ac:dyDescent="0.3">
      <c r="C31" s="19"/>
      <c r="D31" s="34"/>
      <c r="E31" s="18"/>
      <c r="F31" s="17"/>
      <c r="G31" s="6"/>
      <c r="H31" s="6"/>
      <c r="I31" s="2"/>
      <c r="J31" s="2"/>
      <c r="K31" s="2"/>
      <c r="L31" s="5"/>
      <c r="M31" s="5"/>
      <c r="P31" s="56"/>
      <c r="Q31" s="56"/>
      <c r="R31" s="56"/>
      <c r="S31" s="56"/>
    </row>
    <row r="32" spans="1:19" ht="22.05" customHeight="1" x14ac:dyDescent="0.3">
      <c r="C32" s="19"/>
      <c r="D32" s="34"/>
      <c r="E32" s="18"/>
      <c r="F32" s="17"/>
      <c r="G32" s="6"/>
      <c r="H32" s="6"/>
      <c r="I32" s="2"/>
      <c r="J32" s="2"/>
      <c r="K32" s="2"/>
      <c r="L32" s="5"/>
      <c r="M32" s="5"/>
      <c r="P32" s="56"/>
      <c r="Q32" s="56"/>
      <c r="R32" s="56"/>
      <c r="S32" s="56"/>
    </row>
    <row r="33" spans="3:19" ht="22.05" customHeight="1" x14ac:dyDescent="0.3">
      <c r="C33" s="19"/>
      <c r="D33" s="34"/>
      <c r="E33" s="18"/>
      <c r="F33" s="17"/>
      <c r="G33" s="6"/>
      <c r="H33" s="6"/>
      <c r="I33" s="2"/>
      <c r="J33" s="2"/>
      <c r="K33" s="2"/>
      <c r="L33" s="5"/>
      <c r="M33" s="5"/>
      <c r="P33" s="56"/>
      <c r="Q33" s="56"/>
      <c r="R33" s="56"/>
      <c r="S33" s="56"/>
    </row>
    <row r="34" spans="3:19" ht="22.05" customHeight="1" x14ac:dyDescent="0.3">
      <c r="C34" s="19"/>
      <c r="D34" s="34"/>
      <c r="E34" s="18"/>
      <c r="F34" s="17"/>
      <c r="G34" s="6"/>
      <c r="H34" s="6"/>
      <c r="I34" s="2"/>
      <c r="J34" s="2"/>
      <c r="K34" s="2"/>
      <c r="L34" s="5"/>
      <c r="M34" s="5"/>
      <c r="P34" s="56"/>
      <c r="Q34" s="56"/>
      <c r="R34" s="56"/>
      <c r="S34" s="56"/>
    </row>
    <row r="35" spans="3:19" ht="22.05" customHeight="1" x14ac:dyDescent="0.3">
      <c r="C35" s="19"/>
      <c r="D35" s="34"/>
      <c r="E35" s="18"/>
      <c r="F35" s="17"/>
      <c r="G35" s="6"/>
      <c r="H35" s="6"/>
      <c r="I35" s="2"/>
      <c r="J35" s="2"/>
      <c r="K35" s="2"/>
      <c r="L35" s="5"/>
      <c r="M35" s="5"/>
      <c r="P35" s="56"/>
      <c r="Q35" s="56"/>
      <c r="R35" s="56"/>
      <c r="S35" s="56"/>
    </row>
    <row r="36" spans="3:19" ht="22.05" customHeight="1" x14ac:dyDescent="0.3">
      <c r="C36" s="19"/>
      <c r="D36" s="34"/>
      <c r="E36" s="18"/>
      <c r="F36" s="17"/>
      <c r="G36" s="6"/>
      <c r="H36" s="6"/>
      <c r="I36" s="2"/>
      <c r="J36" s="2"/>
      <c r="K36" s="2"/>
      <c r="L36" s="5"/>
      <c r="M36" s="5"/>
      <c r="P36" s="56"/>
      <c r="Q36" s="56"/>
      <c r="R36" s="56"/>
      <c r="S36" s="56"/>
    </row>
    <row r="37" spans="3:19" ht="22.05" customHeight="1" x14ac:dyDescent="0.3">
      <c r="C37" s="19"/>
      <c r="D37" s="34"/>
      <c r="E37" s="18"/>
      <c r="F37" s="17"/>
      <c r="G37" s="6"/>
      <c r="H37" s="6"/>
      <c r="I37" s="2"/>
      <c r="J37" s="2"/>
      <c r="K37" s="2"/>
      <c r="L37" s="5"/>
      <c r="M37" s="5"/>
      <c r="P37" s="56"/>
      <c r="Q37" s="56"/>
      <c r="R37" s="56"/>
      <c r="S37" s="56"/>
    </row>
    <row r="38" spans="3:19" ht="22.05" customHeight="1" x14ac:dyDescent="0.3">
      <c r="C38" s="19"/>
      <c r="D38" s="34"/>
      <c r="E38" s="18"/>
      <c r="F38" s="17"/>
      <c r="G38" s="6"/>
      <c r="H38" s="6"/>
      <c r="I38" s="2"/>
      <c r="J38" s="2"/>
      <c r="K38" s="2"/>
      <c r="L38" s="5"/>
      <c r="M38" s="5"/>
      <c r="P38" s="56"/>
      <c r="Q38" s="56"/>
      <c r="R38" s="56"/>
      <c r="S38" s="56"/>
    </row>
    <row r="39" spans="3:19" ht="22.05" customHeight="1" x14ac:dyDescent="0.3">
      <c r="C39" s="19"/>
      <c r="D39" s="34"/>
      <c r="E39" s="18"/>
      <c r="F39" s="17"/>
      <c r="G39" s="6"/>
      <c r="H39" s="6"/>
      <c r="I39" s="2"/>
      <c r="J39" s="2"/>
      <c r="K39" s="2"/>
      <c r="L39" s="5"/>
      <c r="M39" s="5"/>
      <c r="P39" s="56"/>
      <c r="Q39" s="56"/>
      <c r="R39" s="56"/>
      <c r="S39" s="56"/>
    </row>
    <row r="40" spans="3:19" ht="22.05" customHeight="1" x14ac:dyDescent="0.3">
      <c r="C40" s="19"/>
      <c r="D40" s="34"/>
      <c r="E40" s="18"/>
      <c r="F40" s="17"/>
      <c r="G40" s="6"/>
      <c r="H40" s="6"/>
      <c r="I40" s="2"/>
      <c r="J40" s="2"/>
      <c r="K40" s="2"/>
      <c r="L40" s="5"/>
      <c r="M40" s="5"/>
      <c r="P40" s="56"/>
      <c r="Q40" s="56"/>
      <c r="R40" s="56"/>
      <c r="S40" s="56"/>
    </row>
    <row r="41" spans="3:19" ht="22.05" customHeight="1" x14ac:dyDescent="0.3">
      <c r="C41" s="19"/>
      <c r="D41" s="34"/>
      <c r="E41" s="18"/>
      <c r="F41" s="17"/>
      <c r="G41" s="6"/>
      <c r="H41" s="6"/>
      <c r="I41" s="2"/>
      <c r="J41" s="2"/>
      <c r="K41" s="2"/>
      <c r="L41" s="5"/>
      <c r="M41" s="5"/>
      <c r="P41" s="56"/>
      <c r="Q41" s="56"/>
      <c r="R41" s="56"/>
      <c r="S41" s="56"/>
    </row>
    <row r="42" spans="3:19" ht="22.05" customHeight="1" x14ac:dyDescent="0.3">
      <c r="C42" s="19"/>
      <c r="D42" s="34"/>
      <c r="E42" s="18"/>
      <c r="F42" s="17"/>
      <c r="G42" s="6"/>
      <c r="H42" s="6"/>
      <c r="I42" s="2"/>
      <c r="J42" s="2"/>
      <c r="K42" s="2"/>
      <c r="L42" s="5"/>
      <c r="M42" s="5"/>
      <c r="P42" s="56"/>
      <c r="Q42" s="56"/>
      <c r="R42" s="56"/>
      <c r="S42" s="56"/>
    </row>
    <row r="43" spans="3:19" ht="22.05" customHeight="1" x14ac:dyDescent="0.3">
      <c r="C43" s="19"/>
      <c r="D43" s="34"/>
      <c r="E43" s="18"/>
      <c r="F43" s="17"/>
      <c r="G43" s="6"/>
      <c r="H43" s="6"/>
      <c r="I43" s="2"/>
      <c r="J43" s="2"/>
      <c r="K43" s="2"/>
      <c r="L43" s="5"/>
      <c r="M43" s="5"/>
      <c r="P43" s="56"/>
      <c r="Q43" s="56"/>
      <c r="R43" s="56"/>
      <c r="S43" s="56"/>
    </row>
    <row r="44" spans="3:19" ht="22.05" customHeight="1" x14ac:dyDescent="0.3">
      <c r="C44" s="19"/>
      <c r="D44" s="34"/>
      <c r="E44" s="18"/>
      <c r="F44" s="17"/>
      <c r="G44" s="6"/>
      <c r="H44" s="6"/>
      <c r="I44" s="2"/>
      <c r="J44" s="2"/>
      <c r="K44" s="2"/>
      <c r="L44" s="5"/>
      <c r="M44" s="5"/>
      <c r="P44" s="56"/>
      <c r="Q44" s="56"/>
      <c r="R44" s="56"/>
      <c r="S44" s="56"/>
    </row>
    <row r="45" spans="3:19" ht="22.05" customHeight="1" x14ac:dyDescent="0.3">
      <c r="C45" s="19"/>
      <c r="D45" s="34"/>
      <c r="E45" s="18"/>
      <c r="F45" s="17"/>
      <c r="G45" s="6"/>
      <c r="H45" s="6"/>
      <c r="I45" s="2"/>
      <c r="J45" s="2"/>
      <c r="K45" s="2"/>
      <c r="L45" s="5"/>
      <c r="M45" s="5"/>
      <c r="P45" s="56"/>
      <c r="Q45" s="56"/>
      <c r="R45" s="56"/>
      <c r="S45" s="56"/>
    </row>
    <row r="46" spans="3:19" ht="22.05" customHeight="1" x14ac:dyDescent="0.3">
      <c r="C46" s="19"/>
      <c r="D46" s="34"/>
      <c r="E46" s="18"/>
      <c r="F46" s="17"/>
      <c r="G46" s="6"/>
      <c r="H46" s="6"/>
      <c r="I46" s="2"/>
      <c r="J46" s="2"/>
      <c r="K46" s="2"/>
      <c r="L46" s="5"/>
      <c r="M46" s="5"/>
      <c r="P46" s="56"/>
      <c r="Q46" s="56"/>
      <c r="R46" s="56"/>
      <c r="S46" s="56"/>
    </row>
    <row r="47" spans="3:19" ht="22.05" customHeight="1" x14ac:dyDescent="0.3">
      <c r="C47" s="19"/>
      <c r="D47" s="34"/>
      <c r="E47" s="18"/>
      <c r="F47" s="17"/>
      <c r="G47" s="6"/>
      <c r="H47" s="6"/>
      <c r="I47" s="2"/>
      <c r="J47" s="2"/>
      <c r="K47" s="2"/>
      <c r="L47" s="5"/>
      <c r="M47" s="5"/>
      <c r="P47" s="56"/>
      <c r="Q47" s="56"/>
      <c r="R47" s="56"/>
      <c r="S47" s="56"/>
    </row>
    <row r="48" spans="3:19" ht="22.05" customHeight="1" x14ac:dyDescent="0.3">
      <c r="C48" s="19"/>
      <c r="D48" s="34"/>
      <c r="E48" s="18"/>
      <c r="F48" s="17"/>
      <c r="G48" s="6"/>
      <c r="H48" s="6"/>
      <c r="I48" s="2"/>
      <c r="J48" s="2"/>
      <c r="K48" s="2"/>
      <c r="L48" s="5"/>
      <c r="M48" s="5"/>
      <c r="P48" s="56"/>
      <c r="Q48" s="56"/>
      <c r="R48" s="56"/>
      <c r="S48" s="56"/>
    </row>
    <row r="49" spans="3:19" ht="22.05" customHeight="1" x14ac:dyDescent="0.3">
      <c r="C49" s="19"/>
      <c r="D49" s="34"/>
      <c r="E49" s="18"/>
      <c r="F49" s="17"/>
      <c r="G49" s="6"/>
      <c r="H49" s="6"/>
      <c r="I49" s="2"/>
      <c r="J49" s="2"/>
      <c r="K49" s="2"/>
      <c r="L49" s="5"/>
      <c r="M49" s="5"/>
      <c r="P49" s="56"/>
      <c r="Q49" s="56"/>
      <c r="R49" s="56"/>
      <c r="S49" s="56"/>
    </row>
    <row r="50" spans="3:19" ht="22.05" customHeight="1" x14ac:dyDescent="0.3">
      <c r="C50" s="19"/>
      <c r="D50" s="34"/>
      <c r="E50" s="18"/>
      <c r="F50" s="17"/>
      <c r="G50" s="6"/>
      <c r="H50" s="6"/>
      <c r="I50" s="2"/>
      <c r="J50" s="2"/>
      <c r="K50" s="2"/>
      <c r="L50" s="5"/>
      <c r="M50" s="5"/>
      <c r="P50" s="56"/>
      <c r="Q50" s="56"/>
      <c r="R50" s="56"/>
      <c r="S50" s="56"/>
    </row>
    <row r="51" spans="3:19" ht="22.05" customHeight="1" x14ac:dyDescent="0.3">
      <c r="C51" s="19"/>
      <c r="D51" s="34"/>
      <c r="E51" s="18"/>
      <c r="F51" s="17"/>
      <c r="G51" s="6"/>
      <c r="H51" s="6"/>
      <c r="I51" s="2"/>
      <c r="J51" s="2"/>
      <c r="K51" s="2"/>
      <c r="L51" s="5"/>
      <c r="M51" s="5"/>
      <c r="P51" s="56"/>
      <c r="Q51" s="56"/>
      <c r="R51" s="56"/>
      <c r="S51" s="56"/>
    </row>
    <row r="52" spans="3:19" ht="22.05" customHeight="1" x14ac:dyDescent="0.3">
      <c r="C52" s="19"/>
      <c r="D52" s="34"/>
      <c r="E52" s="18"/>
      <c r="F52" s="17"/>
      <c r="G52" s="6"/>
      <c r="H52" s="6"/>
      <c r="I52" s="2"/>
      <c r="J52" s="2"/>
      <c r="K52" s="2"/>
      <c r="L52" s="5"/>
      <c r="M52" s="5"/>
      <c r="P52" s="56"/>
      <c r="Q52" s="56"/>
      <c r="R52" s="56"/>
      <c r="S52" s="56"/>
    </row>
    <row r="53" spans="3:19" ht="22.05" customHeight="1" x14ac:dyDescent="0.3">
      <c r="C53" s="19"/>
      <c r="D53" s="34"/>
      <c r="E53" s="18"/>
      <c r="F53" s="17"/>
      <c r="G53" s="6"/>
      <c r="H53" s="6"/>
      <c r="I53" s="2"/>
      <c r="J53" s="2"/>
      <c r="K53" s="2"/>
      <c r="L53" s="5"/>
      <c r="M53" s="5"/>
      <c r="P53" s="56"/>
      <c r="Q53" s="56"/>
      <c r="R53" s="56"/>
      <c r="S53" s="56"/>
    </row>
    <row r="54" spans="3:19" ht="22.05" customHeight="1" x14ac:dyDescent="0.3">
      <c r="C54" s="19"/>
      <c r="D54" s="34"/>
      <c r="E54" s="18"/>
      <c r="F54" s="17"/>
      <c r="G54" s="6"/>
      <c r="H54" s="6"/>
      <c r="I54" s="2"/>
      <c r="J54" s="2"/>
      <c r="K54" s="2"/>
      <c r="L54" s="5"/>
      <c r="M54" s="5"/>
      <c r="P54" s="56"/>
      <c r="Q54" s="56"/>
      <c r="R54" s="56"/>
      <c r="S54" s="56"/>
    </row>
    <row r="55" spans="3:19" ht="22.05" customHeight="1" x14ac:dyDescent="0.3">
      <c r="C55" s="19"/>
      <c r="D55" s="34"/>
      <c r="E55" s="18"/>
      <c r="F55" s="17"/>
      <c r="G55" s="6"/>
      <c r="H55" s="6"/>
      <c r="I55" s="2"/>
      <c r="J55" s="2"/>
      <c r="K55" s="2"/>
      <c r="L55" s="5"/>
      <c r="M55" s="5"/>
      <c r="P55" s="56"/>
      <c r="Q55" s="56"/>
      <c r="R55" s="56"/>
      <c r="S55" s="56"/>
    </row>
    <row r="56" spans="3:19" ht="22.05" customHeight="1" x14ac:dyDescent="0.3">
      <c r="C56" s="19"/>
      <c r="D56" s="34"/>
      <c r="E56" s="18"/>
      <c r="F56" s="17"/>
      <c r="G56" s="6"/>
      <c r="H56" s="6"/>
      <c r="I56" s="2"/>
      <c r="J56" s="2"/>
      <c r="K56" s="2"/>
      <c r="L56" s="5"/>
      <c r="M56" s="5"/>
      <c r="P56" s="56"/>
      <c r="Q56" s="56"/>
      <c r="R56" s="56"/>
      <c r="S56" s="56"/>
    </row>
    <row r="57" spans="3:19" ht="22.05" customHeight="1" x14ac:dyDescent="0.3">
      <c r="C57" s="19"/>
      <c r="D57" s="34"/>
      <c r="E57" s="18"/>
      <c r="F57" s="17"/>
      <c r="G57" s="6"/>
      <c r="H57" s="6"/>
      <c r="I57" s="2"/>
      <c r="J57" s="2"/>
      <c r="K57" s="2"/>
      <c r="L57" s="5"/>
      <c r="M57" s="5"/>
      <c r="P57" s="56"/>
      <c r="Q57" s="56"/>
      <c r="R57" s="56"/>
      <c r="S57" s="56"/>
    </row>
    <row r="58" spans="3:19" ht="22.05" customHeight="1" x14ac:dyDescent="0.3">
      <c r="C58" s="19"/>
      <c r="D58" s="34"/>
      <c r="E58" s="18"/>
      <c r="F58" s="17"/>
      <c r="G58" s="6"/>
      <c r="H58" s="6"/>
      <c r="I58" s="2"/>
      <c r="J58" s="2"/>
      <c r="K58" s="2"/>
      <c r="L58" s="5"/>
      <c r="M58" s="5"/>
      <c r="P58" s="56"/>
      <c r="Q58" s="56"/>
      <c r="R58" s="56"/>
      <c r="S58" s="56"/>
    </row>
    <row r="59" spans="3:19" ht="22.05" customHeight="1" x14ac:dyDescent="0.3">
      <c r="C59" s="19"/>
      <c r="D59" s="34"/>
      <c r="E59" s="18"/>
      <c r="F59" s="17"/>
      <c r="G59" s="6"/>
      <c r="H59" s="6"/>
      <c r="I59" s="2"/>
      <c r="J59" s="2"/>
      <c r="K59" s="2"/>
      <c r="L59" s="5"/>
      <c r="M59" s="5"/>
      <c r="P59" s="56"/>
      <c r="Q59" s="56"/>
      <c r="R59" s="56"/>
      <c r="S59" s="56"/>
    </row>
    <row r="60" spans="3:19" ht="22.05" customHeight="1" x14ac:dyDescent="0.3">
      <c r="C60" s="19"/>
      <c r="D60" s="34"/>
      <c r="E60" s="18"/>
      <c r="F60" s="17"/>
      <c r="G60" s="6"/>
      <c r="H60" s="6"/>
      <c r="I60" s="2"/>
      <c r="J60" s="2"/>
      <c r="K60" s="2"/>
      <c r="L60" s="5"/>
      <c r="M60" s="5"/>
      <c r="P60" s="56"/>
      <c r="Q60" s="56"/>
      <c r="R60" s="56"/>
      <c r="S60" s="56"/>
    </row>
    <row r="61" spans="3:19" ht="22.05" customHeight="1" x14ac:dyDescent="0.3">
      <c r="C61" s="19"/>
      <c r="D61" s="34"/>
      <c r="E61" s="18"/>
      <c r="F61" s="17"/>
      <c r="G61" s="6"/>
      <c r="H61" s="6"/>
      <c r="I61" s="2"/>
      <c r="J61" s="2"/>
      <c r="K61" s="2"/>
      <c r="L61" s="5"/>
      <c r="M61" s="5"/>
      <c r="P61" s="56"/>
      <c r="Q61" s="56"/>
      <c r="R61" s="56"/>
      <c r="S61" s="56"/>
    </row>
    <row r="62" spans="3:19" ht="22.05" customHeight="1" x14ac:dyDescent="0.3">
      <c r="C62" s="19"/>
      <c r="D62" s="34"/>
      <c r="E62" s="18"/>
      <c r="F62" s="17"/>
      <c r="G62" s="6"/>
      <c r="H62" s="6"/>
      <c r="I62" s="2"/>
      <c r="J62" s="2"/>
      <c r="K62" s="2"/>
      <c r="L62" s="5"/>
      <c r="M62" s="5"/>
      <c r="P62" s="56"/>
      <c r="Q62" s="56"/>
      <c r="R62" s="56"/>
      <c r="S62" s="56"/>
    </row>
    <row r="63" spans="3:19" ht="22.05" customHeight="1" x14ac:dyDescent="0.3">
      <c r="C63" s="19"/>
      <c r="D63" s="34"/>
      <c r="E63" s="18"/>
      <c r="F63" s="17"/>
      <c r="G63" s="6"/>
      <c r="H63" s="6"/>
      <c r="I63" s="2"/>
      <c r="J63" s="2"/>
      <c r="K63" s="2"/>
      <c r="L63" s="5"/>
      <c r="M63" s="5"/>
      <c r="P63" s="56"/>
      <c r="Q63" s="56"/>
      <c r="R63" s="56"/>
      <c r="S63" s="56"/>
    </row>
    <row r="64" spans="3:19" ht="22.05" customHeight="1" x14ac:dyDescent="0.3">
      <c r="C64" s="19"/>
      <c r="D64" s="34"/>
      <c r="E64" s="18"/>
      <c r="F64" s="17"/>
      <c r="G64" s="6"/>
      <c r="H64" s="6"/>
      <c r="I64" s="2"/>
      <c r="J64" s="2"/>
      <c r="K64" s="2"/>
      <c r="L64" s="5"/>
      <c r="M64" s="5"/>
      <c r="P64" s="56"/>
      <c r="Q64" s="56"/>
      <c r="R64" s="56"/>
      <c r="S64" s="56"/>
    </row>
    <row r="65" spans="3:19" ht="22.05" customHeight="1" x14ac:dyDescent="0.3">
      <c r="C65" s="19"/>
      <c r="D65" s="34"/>
      <c r="E65" s="18"/>
      <c r="F65" s="17"/>
      <c r="G65" s="6"/>
      <c r="H65" s="6"/>
      <c r="I65" s="2"/>
      <c r="J65" s="2"/>
      <c r="K65" s="2"/>
      <c r="L65" s="5"/>
      <c r="M65" s="5"/>
      <c r="P65" s="56"/>
      <c r="Q65" s="56"/>
      <c r="R65" s="56"/>
      <c r="S65" s="56"/>
    </row>
    <row r="66" spans="3:19" ht="22.05" customHeight="1" x14ac:dyDescent="0.3">
      <c r="C66" s="19"/>
      <c r="D66" s="34"/>
      <c r="E66" s="18"/>
      <c r="F66" s="17"/>
      <c r="G66" s="6"/>
      <c r="H66" s="6"/>
      <c r="I66" s="2"/>
      <c r="J66" s="2"/>
      <c r="K66" s="2"/>
      <c r="L66" s="5"/>
      <c r="M66" s="5"/>
      <c r="P66" s="56"/>
      <c r="Q66" s="56"/>
      <c r="R66" s="56"/>
      <c r="S66" s="56"/>
    </row>
    <row r="67" spans="3:19" ht="22.05" customHeight="1" x14ac:dyDescent="0.3">
      <c r="C67" s="19"/>
      <c r="D67" s="34"/>
      <c r="E67" s="18"/>
      <c r="F67" s="17"/>
      <c r="G67" s="6"/>
      <c r="H67" s="6"/>
      <c r="I67" s="2"/>
      <c r="J67" s="2"/>
      <c r="K67" s="2"/>
      <c r="L67" s="5"/>
      <c r="M67" s="5"/>
      <c r="P67" s="56"/>
      <c r="Q67" s="56"/>
      <c r="R67" s="56"/>
      <c r="S67" s="56"/>
    </row>
    <row r="68" spans="3:19" ht="22.05" customHeight="1" x14ac:dyDescent="0.3">
      <c r="C68" s="19"/>
      <c r="D68" s="34"/>
      <c r="E68" s="18"/>
      <c r="F68" s="17"/>
      <c r="G68" s="6"/>
      <c r="H68" s="6"/>
      <c r="I68" s="2"/>
      <c r="J68" s="2"/>
      <c r="K68" s="2"/>
      <c r="L68" s="5"/>
      <c r="M68" s="5"/>
      <c r="P68" s="56"/>
      <c r="Q68" s="56"/>
      <c r="R68" s="56"/>
      <c r="S68" s="56"/>
    </row>
    <row r="69" spans="3:19" ht="22.05" customHeight="1" x14ac:dyDescent="0.3">
      <c r="C69" s="19"/>
      <c r="D69" s="34"/>
      <c r="E69" s="18"/>
      <c r="F69" s="17"/>
      <c r="G69" s="6"/>
      <c r="H69" s="6"/>
      <c r="I69" s="2"/>
      <c r="J69" s="2"/>
      <c r="K69" s="2"/>
      <c r="L69" s="5"/>
      <c r="M69" s="5"/>
      <c r="P69" s="56"/>
      <c r="Q69" s="56"/>
      <c r="R69" s="56"/>
      <c r="S69" s="56"/>
    </row>
    <row r="70" spans="3:19" ht="22.05" customHeight="1" x14ac:dyDescent="0.3">
      <c r="C70" s="19"/>
      <c r="D70" s="34"/>
      <c r="E70" s="18"/>
      <c r="F70" s="17"/>
      <c r="G70" s="6"/>
      <c r="H70" s="6"/>
      <c r="I70" s="2"/>
      <c r="J70" s="2"/>
      <c r="K70" s="2"/>
      <c r="L70" s="5"/>
      <c r="M70" s="5"/>
      <c r="P70" s="56"/>
      <c r="Q70" s="56"/>
      <c r="R70" s="56"/>
      <c r="S70" s="56"/>
    </row>
    <row r="71" spans="3:19" ht="22.05" customHeight="1" x14ac:dyDescent="0.3">
      <c r="C71" s="19"/>
      <c r="D71" s="34"/>
      <c r="E71" s="18"/>
      <c r="F71" s="17"/>
      <c r="G71" s="6"/>
      <c r="H71" s="6"/>
      <c r="I71" s="2"/>
      <c r="J71" s="2"/>
      <c r="K71" s="2"/>
      <c r="L71" s="5"/>
      <c r="M71" s="5"/>
      <c r="P71" s="56"/>
      <c r="Q71" s="56"/>
      <c r="R71" s="56"/>
      <c r="S71" s="56"/>
    </row>
    <row r="72" spans="3:19" ht="22.05" customHeight="1" x14ac:dyDescent="0.3">
      <c r="C72" s="19"/>
      <c r="D72" s="34"/>
      <c r="E72" s="18"/>
      <c r="F72" s="17"/>
      <c r="G72" s="6"/>
      <c r="H72" s="6"/>
      <c r="I72" s="2"/>
      <c r="J72" s="2"/>
      <c r="K72" s="2"/>
      <c r="L72" s="5"/>
      <c r="M72" s="5"/>
      <c r="P72" s="56"/>
      <c r="Q72" s="56"/>
      <c r="R72" s="56"/>
      <c r="S72" s="56"/>
    </row>
    <row r="73" spans="3:19" ht="22.05" customHeight="1" x14ac:dyDescent="0.3">
      <c r="C73" s="19"/>
      <c r="D73" s="34"/>
      <c r="E73" s="18"/>
      <c r="F73" s="17"/>
      <c r="G73" s="6"/>
      <c r="H73" s="6"/>
      <c r="I73" s="2"/>
      <c r="J73" s="2"/>
      <c r="K73" s="2"/>
      <c r="L73" s="5"/>
      <c r="M73" s="5"/>
      <c r="P73" s="56"/>
      <c r="Q73" s="56"/>
      <c r="R73" s="56"/>
      <c r="S73" s="56"/>
    </row>
    <row r="74" spans="3:19" ht="22.05" customHeight="1" x14ac:dyDescent="0.3">
      <c r="C74" s="19"/>
      <c r="D74" s="34"/>
      <c r="E74" s="18"/>
      <c r="F74" s="17"/>
      <c r="G74" s="6"/>
      <c r="H74" s="6"/>
      <c r="I74" s="2"/>
      <c r="J74" s="2"/>
      <c r="K74" s="2"/>
      <c r="L74" s="5"/>
      <c r="M74" s="5"/>
      <c r="P74" s="56"/>
      <c r="Q74" s="56"/>
      <c r="R74" s="56"/>
      <c r="S74" s="56"/>
    </row>
    <row r="75" spans="3:19" ht="22.05" customHeight="1" x14ac:dyDescent="0.3">
      <c r="C75" s="19"/>
      <c r="D75" s="34"/>
      <c r="E75" s="18"/>
      <c r="F75" s="17"/>
      <c r="G75" s="6"/>
      <c r="H75" s="6"/>
      <c r="I75" s="2"/>
      <c r="J75" s="2"/>
      <c r="K75" s="2"/>
      <c r="L75" s="5"/>
      <c r="M75" s="5"/>
      <c r="P75" s="56"/>
      <c r="Q75" s="56"/>
      <c r="R75" s="56"/>
      <c r="S75" s="56"/>
    </row>
    <row r="76" spans="3:19" ht="22.05" customHeight="1" x14ac:dyDescent="0.3">
      <c r="C76" s="19"/>
      <c r="D76" s="34"/>
      <c r="E76" s="18"/>
      <c r="F76" s="17"/>
      <c r="G76" s="6"/>
      <c r="H76" s="6"/>
      <c r="I76" s="2"/>
      <c r="J76" s="2"/>
      <c r="K76" s="2"/>
      <c r="L76" s="5"/>
      <c r="M76" s="5"/>
      <c r="P76" s="56"/>
      <c r="Q76" s="56"/>
      <c r="R76" s="56"/>
      <c r="S76" s="56"/>
    </row>
    <row r="77" spans="3:19" ht="22.05" customHeight="1" x14ac:dyDescent="0.3">
      <c r="C77" s="19"/>
      <c r="D77" s="34"/>
      <c r="E77" s="18"/>
      <c r="F77" s="17"/>
      <c r="G77" s="6"/>
      <c r="H77" s="6"/>
      <c r="I77" s="2"/>
      <c r="J77" s="2"/>
      <c r="K77" s="2"/>
      <c r="L77" s="5"/>
      <c r="M77" s="5"/>
      <c r="P77" s="56"/>
      <c r="Q77" s="56"/>
      <c r="R77" s="56"/>
      <c r="S77" s="56"/>
    </row>
    <row r="78" spans="3:19" ht="22.05" customHeight="1" x14ac:dyDescent="0.3">
      <c r="C78" s="19"/>
      <c r="D78" s="34"/>
      <c r="E78" s="18"/>
      <c r="F78" s="17"/>
      <c r="G78" s="6"/>
      <c r="H78" s="6"/>
      <c r="I78" s="2"/>
      <c r="J78" s="2"/>
      <c r="K78" s="2"/>
      <c r="L78" s="5"/>
      <c r="M78" s="5"/>
      <c r="P78" s="56"/>
      <c r="Q78" s="56"/>
      <c r="R78" s="56"/>
      <c r="S78" s="56"/>
    </row>
    <row r="79" spans="3:19" ht="22.05" customHeight="1" x14ac:dyDescent="0.3">
      <c r="C79" s="19"/>
      <c r="D79" s="34"/>
      <c r="E79" s="18"/>
      <c r="F79" s="17"/>
      <c r="G79" s="6"/>
      <c r="H79" s="6"/>
      <c r="I79" s="2"/>
      <c r="J79" s="2"/>
      <c r="K79" s="2"/>
      <c r="L79" s="5"/>
      <c r="M79" s="5"/>
      <c r="P79" s="56"/>
      <c r="Q79" s="56"/>
      <c r="R79" s="56"/>
      <c r="S79" s="56"/>
    </row>
    <row r="80" spans="3:19" ht="22.05" customHeight="1" x14ac:dyDescent="0.3">
      <c r="C80" s="19"/>
      <c r="D80" s="34"/>
      <c r="E80" s="18"/>
      <c r="F80" s="17"/>
      <c r="G80" s="6"/>
      <c r="H80" s="6"/>
      <c r="I80" s="2"/>
      <c r="J80" s="2"/>
      <c r="K80" s="2"/>
      <c r="L80" s="5"/>
      <c r="M80" s="5"/>
      <c r="P80" s="56"/>
      <c r="Q80" s="56"/>
      <c r="R80" s="56"/>
      <c r="S80" s="56"/>
    </row>
    <row r="81" spans="3:19" ht="22.05" customHeight="1" x14ac:dyDescent="0.3">
      <c r="C81" s="19"/>
      <c r="D81" s="34"/>
      <c r="E81" s="18"/>
      <c r="F81" s="17"/>
      <c r="G81" s="6"/>
      <c r="H81" s="6"/>
      <c r="I81" s="2"/>
      <c r="J81" s="2"/>
      <c r="K81" s="2"/>
      <c r="L81" s="5"/>
      <c r="M81" s="5"/>
      <c r="P81" s="56"/>
      <c r="Q81" s="56"/>
      <c r="R81" s="56"/>
      <c r="S81" s="56"/>
    </row>
    <row r="82" spans="3:19" ht="22.05" customHeight="1" x14ac:dyDescent="0.3">
      <c r="C82" s="19"/>
      <c r="D82" s="34"/>
      <c r="E82" s="18"/>
      <c r="F82" s="17"/>
      <c r="G82" s="6"/>
      <c r="H82" s="6"/>
      <c r="I82" s="2"/>
      <c r="J82" s="2"/>
      <c r="K82" s="2"/>
      <c r="L82" s="5"/>
      <c r="M82" s="5"/>
      <c r="P82" s="56"/>
      <c r="Q82" s="56"/>
      <c r="R82" s="56"/>
      <c r="S82" s="56"/>
    </row>
    <row r="83" spans="3:19" ht="22.05" customHeight="1" x14ac:dyDescent="0.3">
      <c r="C83" s="19"/>
      <c r="D83" s="34"/>
      <c r="E83" s="18"/>
      <c r="F83" s="17"/>
      <c r="G83" s="6"/>
      <c r="H83" s="6"/>
      <c r="I83" s="2"/>
      <c r="J83" s="2"/>
      <c r="K83" s="2"/>
      <c r="L83" s="5"/>
      <c r="M83" s="5"/>
      <c r="P83" s="56"/>
      <c r="Q83" s="56"/>
      <c r="R83" s="56"/>
      <c r="S83" s="56"/>
    </row>
    <row r="84" spans="3:19" ht="22.05" customHeight="1" x14ac:dyDescent="0.3">
      <c r="C84" s="19"/>
      <c r="D84" s="34"/>
      <c r="E84" s="18"/>
      <c r="F84" s="17"/>
      <c r="G84" s="6"/>
      <c r="H84" s="6"/>
      <c r="I84" s="2"/>
      <c r="J84" s="2"/>
      <c r="K84" s="2"/>
      <c r="L84" s="5"/>
      <c r="M84" s="5"/>
      <c r="P84" s="56"/>
      <c r="Q84" s="56"/>
      <c r="R84" s="56"/>
      <c r="S84" s="56"/>
    </row>
    <row r="85" spans="3:19" ht="22.05" customHeight="1" x14ac:dyDescent="0.3">
      <c r="C85" s="19"/>
      <c r="D85" s="34"/>
      <c r="E85" s="18"/>
      <c r="F85" s="17"/>
      <c r="G85" s="6"/>
      <c r="H85" s="6"/>
      <c r="I85" s="2"/>
      <c r="J85" s="2"/>
      <c r="K85" s="2"/>
      <c r="L85" s="5"/>
      <c r="M85" s="5"/>
      <c r="P85" s="56"/>
      <c r="Q85" s="56"/>
      <c r="R85" s="56"/>
      <c r="S85" s="56"/>
    </row>
    <row r="86" spans="3:19" ht="22.05" customHeight="1" x14ac:dyDescent="0.3">
      <c r="C86" s="19"/>
      <c r="D86" s="34"/>
      <c r="E86" s="18"/>
      <c r="F86" s="17"/>
      <c r="G86" s="6"/>
      <c r="H86" s="6"/>
      <c r="I86" s="2"/>
      <c r="J86" s="2"/>
      <c r="K86" s="2"/>
      <c r="L86" s="5"/>
      <c r="M86" s="5"/>
      <c r="P86" s="56"/>
      <c r="Q86" s="56"/>
      <c r="R86" s="56"/>
      <c r="S86" s="56"/>
    </row>
    <row r="87" spans="3:19" ht="22.05" customHeight="1" x14ac:dyDescent="0.3">
      <c r="C87" s="19"/>
      <c r="D87" s="34"/>
      <c r="E87" s="18"/>
      <c r="F87" s="17"/>
      <c r="G87" s="6"/>
      <c r="H87" s="6"/>
      <c r="I87" s="2"/>
      <c r="J87" s="2"/>
      <c r="K87" s="2"/>
      <c r="L87" s="5"/>
      <c r="M87" s="5"/>
      <c r="P87" s="56"/>
      <c r="Q87" s="56"/>
      <c r="R87" s="56"/>
      <c r="S87" s="56"/>
    </row>
    <row r="88" spans="3:19" ht="22.05" customHeight="1" x14ac:dyDescent="0.3">
      <c r="C88" s="19"/>
      <c r="D88" s="34"/>
      <c r="E88" s="18"/>
      <c r="F88" s="17"/>
      <c r="G88" s="6"/>
      <c r="H88" s="6"/>
      <c r="I88" s="2"/>
      <c r="J88" s="2"/>
      <c r="K88" s="2"/>
      <c r="L88" s="5"/>
      <c r="M88" s="5"/>
      <c r="P88" s="56"/>
      <c r="Q88" s="56"/>
      <c r="R88" s="56"/>
      <c r="S88" s="56"/>
    </row>
    <row r="89" spans="3:19" ht="22.05" customHeight="1" x14ac:dyDescent="0.3">
      <c r="C89" s="19"/>
      <c r="D89" s="34"/>
      <c r="E89" s="18"/>
      <c r="F89" s="17"/>
      <c r="G89" s="6"/>
      <c r="H89" s="6"/>
      <c r="I89" s="2"/>
      <c r="J89" s="2"/>
      <c r="K89" s="2"/>
      <c r="L89" s="5"/>
      <c r="M89" s="5"/>
      <c r="P89" s="56"/>
      <c r="Q89" s="56"/>
      <c r="R89" s="56"/>
      <c r="S89" s="56"/>
    </row>
    <row r="90" spans="3:19" ht="22.05" customHeight="1" x14ac:dyDescent="0.3">
      <c r="C90" s="19"/>
      <c r="D90" s="34"/>
      <c r="E90" s="18"/>
      <c r="F90" s="17"/>
      <c r="G90" s="6"/>
      <c r="H90" s="6"/>
      <c r="I90" s="2"/>
      <c r="J90" s="2"/>
      <c r="K90" s="2"/>
      <c r="L90" s="5"/>
      <c r="M90" s="5"/>
      <c r="P90" s="56"/>
      <c r="Q90" s="56"/>
      <c r="R90" s="56"/>
      <c r="S90" s="56"/>
    </row>
    <row r="91" spans="3:19" ht="22.05" customHeight="1" x14ac:dyDescent="0.3">
      <c r="C91" s="19"/>
      <c r="D91" s="34"/>
      <c r="E91" s="18"/>
      <c r="F91" s="17"/>
      <c r="G91" s="6"/>
      <c r="H91" s="6"/>
      <c r="I91" s="2"/>
      <c r="J91" s="2"/>
      <c r="K91" s="2"/>
      <c r="L91" s="5"/>
      <c r="M91" s="5"/>
      <c r="P91" s="56"/>
      <c r="Q91" s="56"/>
      <c r="R91" s="56"/>
      <c r="S91" s="56"/>
    </row>
    <row r="92" spans="3:19" ht="22.05" customHeight="1" x14ac:dyDescent="0.3">
      <c r="C92" s="19"/>
      <c r="D92" s="34"/>
      <c r="E92" s="18"/>
      <c r="F92" s="17"/>
      <c r="G92" s="6"/>
      <c r="H92" s="6"/>
      <c r="I92" s="2"/>
      <c r="J92" s="2"/>
      <c r="K92" s="2"/>
      <c r="L92" s="5"/>
      <c r="M92" s="5"/>
      <c r="P92" s="56"/>
      <c r="Q92" s="56"/>
      <c r="R92" s="56"/>
      <c r="S92" s="56"/>
    </row>
    <row r="93" spans="3:19" ht="22.05" customHeight="1" x14ac:dyDescent="0.3">
      <c r="C93" s="19"/>
      <c r="D93" s="34"/>
      <c r="E93" s="18"/>
      <c r="F93" s="17"/>
      <c r="G93" s="6"/>
      <c r="H93" s="6"/>
      <c r="I93" s="2"/>
      <c r="J93" s="2"/>
      <c r="K93" s="2"/>
      <c r="L93" s="5"/>
      <c r="M93" s="5"/>
      <c r="P93" s="56"/>
      <c r="Q93" s="56"/>
      <c r="R93" s="56"/>
      <c r="S93" s="56"/>
    </row>
    <row r="94" spans="3:19" ht="22.05" customHeight="1" x14ac:dyDescent="0.3">
      <c r="C94" s="19"/>
      <c r="D94" s="34"/>
      <c r="E94" s="18"/>
      <c r="F94" s="17"/>
      <c r="G94" s="6"/>
      <c r="H94" s="6"/>
      <c r="I94" s="2"/>
      <c r="J94" s="2"/>
      <c r="K94" s="2"/>
      <c r="L94" s="5"/>
      <c r="M94" s="5"/>
      <c r="P94" s="56"/>
      <c r="Q94" s="56"/>
      <c r="R94" s="56"/>
      <c r="S94" s="56"/>
    </row>
    <row r="95" spans="3:19" ht="22.05" customHeight="1" x14ac:dyDescent="0.3">
      <c r="C95" s="19"/>
      <c r="D95" s="34"/>
      <c r="E95" s="18"/>
      <c r="F95" s="17"/>
      <c r="G95" s="6"/>
      <c r="H95" s="6"/>
      <c r="I95" s="2"/>
      <c r="J95" s="2"/>
      <c r="K95" s="2"/>
      <c r="L95" s="5"/>
      <c r="M95" s="5"/>
      <c r="P95" s="56"/>
      <c r="Q95" s="56"/>
      <c r="R95" s="56"/>
      <c r="S95" s="56"/>
    </row>
    <row r="96" spans="3:19" ht="22.05" customHeight="1" x14ac:dyDescent="0.3">
      <c r="C96" s="19"/>
      <c r="D96" s="34"/>
      <c r="E96" s="18"/>
      <c r="F96" s="17"/>
      <c r="G96" s="6"/>
      <c r="H96" s="6"/>
      <c r="I96" s="2"/>
      <c r="J96" s="2"/>
      <c r="K96" s="2"/>
      <c r="L96" s="5"/>
      <c r="M96" s="5"/>
      <c r="P96" s="56"/>
      <c r="Q96" s="56"/>
      <c r="R96" s="56"/>
      <c r="S96" s="56"/>
    </row>
    <row r="97" spans="3:19" ht="22.05" customHeight="1" x14ac:dyDescent="0.3">
      <c r="C97" s="19"/>
      <c r="D97" s="34"/>
      <c r="E97" s="18"/>
      <c r="F97" s="17"/>
      <c r="G97" s="6"/>
      <c r="H97" s="6"/>
      <c r="I97" s="2"/>
      <c r="J97" s="2"/>
      <c r="K97" s="2"/>
      <c r="L97" s="5"/>
      <c r="M97" s="5"/>
      <c r="P97" s="56"/>
      <c r="Q97" s="56"/>
      <c r="R97" s="56"/>
      <c r="S97" s="56"/>
    </row>
    <row r="98" spans="3:19" ht="22.05" customHeight="1" x14ac:dyDescent="0.3">
      <c r="C98" s="19"/>
      <c r="D98" s="34"/>
      <c r="E98" s="18"/>
      <c r="F98" s="17"/>
      <c r="G98" s="6"/>
      <c r="H98" s="6"/>
      <c r="I98" s="2"/>
      <c r="J98" s="2"/>
      <c r="K98" s="2"/>
      <c r="L98" s="5"/>
      <c r="M98" s="5"/>
      <c r="P98" s="56"/>
      <c r="Q98" s="56"/>
      <c r="R98" s="56"/>
      <c r="S98" s="56"/>
    </row>
    <row r="99" spans="3:19" ht="22.05" customHeight="1" thickBot="1" x14ac:dyDescent="0.35">
      <c r="C99" s="20"/>
      <c r="D99" s="42"/>
      <c r="E99" s="44"/>
      <c r="F99" s="45"/>
      <c r="G99" s="47"/>
      <c r="H99" s="47"/>
      <c r="I99" s="43"/>
      <c r="J99" s="43"/>
      <c r="K99" s="43"/>
      <c r="L99" s="46"/>
      <c r="M99" s="46"/>
      <c r="P99" s="56"/>
      <c r="Q99" s="56"/>
      <c r="R99" s="56"/>
      <c r="S99" s="56"/>
    </row>
    <row r="100" spans="3:19" ht="18" customHeight="1" x14ac:dyDescent="0.3">
      <c r="E100" s="12">
        <f>SUM(E4:E99)</f>
        <v>200</v>
      </c>
      <c r="F100" s="12">
        <f>SUM(F4:F99)</f>
        <v>89</v>
      </c>
      <c r="I100" s="3"/>
      <c r="R100" s="59"/>
    </row>
  </sheetData>
  <mergeCells count="5">
    <mergeCell ref="C1:D1"/>
    <mergeCell ref="A19:B19"/>
    <mergeCell ref="A1:B1"/>
    <mergeCell ref="A15:B15"/>
    <mergeCell ref="A16:B16"/>
  </mergeCells>
  <pageMargins left="0.7" right="0.7" top="0.78740157499999996" bottom="0.78740157499999996"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455F7-26F0-4B85-9C0F-2EC131512842}">
  <sheetPr codeName="Tabelle4"/>
  <dimension ref="A1:U100"/>
  <sheetViews>
    <sheetView zoomScale="55" zoomScaleNormal="55" workbookViewId="0">
      <selection activeCell="C3" sqref="C3:S27"/>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8" max="8" width="15.77734375" customWidth="1"/>
    <col min="14" max="19" width="13.77734375" style="1" customWidth="1"/>
    <col min="22" max="16384" width="11.5546875" style="1"/>
  </cols>
  <sheetData>
    <row r="1" spans="1:21" ht="41.4" customHeight="1" thickBot="1" x14ac:dyDescent="0.35">
      <c r="A1" s="158" t="s">
        <v>64</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c r="T3" t="s">
        <v>94</v>
      </c>
    </row>
    <row r="4" spans="1:21" ht="22.05" customHeight="1" x14ac:dyDescent="0.45">
      <c r="A4" s="16" t="s">
        <v>3</v>
      </c>
      <c r="B4" s="35">
        <v>0.1</v>
      </c>
      <c r="C4" s="49">
        <v>1</v>
      </c>
      <c r="D4" s="114">
        <v>43265.041666666664</v>
      </c>
      <c r="E4" s="51">
        <v>1.9094908862350721</v>
      </c>
      <c r="F4" s="17">
        <v>0</v>
      </c>
      <c r="G4" s="54">
        <v>10</v>
      </c>
      <c r="H4" s="54">
        <v>5</v>
      </c>
      <c r="I4" s="36">
        <v>0</v>
      </c>
      <c r="J4" s="36">
        <v>0</v>
      </c>
      <c r="K4" s="36">
        <v>0</v>
      </c>
      <c r="L4" s="53">
        <v>0</v>
      </c>
      <c r="M4" s="53">
        <v>0</v>
      </c>
      <c r="N4" s="130">
        <v>0</v>
      </c>
      <c r="O4" s="130">
        <v>0</v>
      </c>
      <c r="P4" s="56">
        <v>0</v>
      </c>
      <c r="Q4" s="56">
        <v>0</v>
      </c>
      <c r="R4" s="56">
        <v>0</v>
      </c>
      <c r="S4" s="56">
        <v>0</v>
      </c>
      <c r="T4">
        <v>1</v>
      </c>
    </row>
    <row r="5" spans="1:21" ht="22.05" customHeight="1" x14ac:dyDescent="0.45">
      <c r="A5" s="16" t="s">
        <v>4</v>
      </c>
      <c r="B5" s="35">
        <v>5</v>
      </c>
      <c r="C5" s="19">
        <v>2</v>
      </c>
      <c r="D5" s="114">
        <v>43265.083333333336</v>
      </c>
      <c r="E5" s="18">
        <v>1.2319296040226271</v>
      </c>
      <c r="F5" s="17">
        <v>0</v>
      </c>
      <c r="G5" s="6">
        <v>10</v>
      </c>
      <c r="H5" s="6">
        <v>5</v>
      </c>
      <c r="I5" s="2">
        <v>0</v>
      </c>
      <c r="J5" s="2">
        <v>0</v>
      </c>
      <c r="K5" s="2">
        <v>0</v>
      </c>
      <c r="L5" s="5">
        <v>0</v>
      </c>
      <c r="M5" s="5">
        <v>0</v>
      </c>
      <c r="N5" s="130">
        <v>0</v>
      </c>
      <c r="O5" s="130">
        <v>0</v>
      </c>
      <c r="P5" s="56">
        <v>0</v>
      </c>
      <c r="Q5" s="56">
        <v>0</v>
      </c>
      <c r="R5" s="56">
        <v>0</v>
      </c>
      <c r="S5" s="56">
        <v>0</v>
      </c>
      <c r="T5">
        <v>1</v>
      </c>
    </row>
    <row r="6" spans="1:21" ht="22.05" customHeight="1" x14ac:dyDescent="0.45">
      <c r="A6" s="16" t="s">
        <v>5</v>
      </c>
      <c r="B6" s="35">
        <v>0.5</v>
      </c>
      <c r="C6" s="19">
        <v>3</v>
      </c>
      <c r="D6" s="114">
        <v>43265.125</v>
      </c>
      <c r="E6" s="18">
        <v>0.55436832181018225</v>
      </c>
      <c r="F6" s="17">
        <v>0</v>
      </c>
      <c r="G6" s="6">
        <v>10</v>
      </c>
      <c r="H6" s="6">
        <v>5</v>
      </c>
      <c r="I6" s="2">
        <v>0</v>
      </c>
      <c r="J6" s="2">
        <v>0</v>
      </c>
      <c r="K6" s="2">
        <v>0</v>
      </c>
      <c r="L6" s="5">
        <v>0</v>
      </c>
      <c r="M6" s="5">
        <v>0</v>
      </c>
      <c r="N6" s="130">
        <v>0</v>
      </c>
      <c r="O6" s="130">
        <v>0</v>
      </c>
      <c r="P6" s="56">
        <v>0</v>
      </c>
      <c r="Q6" s="56">
        <v>0</v>
      </c>
      <c r="R6" s="56">
        <v>0</v>
      </c>
      <c r="S6" s="56">
        <v>0</v>
      </c>
      <c r="T6">
        <v>0</v>
      </c>
    </row>
    <row r="7" spans="1:21" ht="22.05" customHeight="1" x14ac:dyDescent="0.45">
      <c r="A7" s="16" t="s">
        <v>6</v>
      </c>
      <c r="B7" s="35">
        <v>20</v>
      </c>
      <c r="C7" s="19">
        <v>4</v>
      </c>
      <c r="D7" s="114">
        <v>43265.166666666664</v>
      </c>
      <c r="E7" s="18">
        <v>0.80075424261470762</v>
      </c>
      <c r="F7" s="17">
        <v>0</v>
      </c>
      <c r="G7" s="6">
        <v>10</v>
      </c>
      <c r="H7" s="6">
        <v>5</v>
      </c>
      <c r="I7" s="2">
        <v>0</v>
      </c>
      <c r="J7" s="2">
        <v>0</v>
      </c>
      <c r="K7" s="2">
        <v>0</v>
      </c>
      <c r="L7" s="5">
        <v>0</v>
      </c>
      <c r="M7" s="5">
        <v>0</v>
      </c>
      <c r="N7" s="130">
        <v>0</v>
      </c>
      <c r="O7" s="130">
        <v>0</v>
      </c>
      <c r="P7" s="56">
        <v>0</v>
      </c>
      <c r="Q7" s="56">
        <v>0</v>
      </c>
      <c r="R7" s="56">
        <v>0</v>
      </c>
      <c r="S7" s="56">
        <v>0</v>
      </c>
      <c r="T7">
        <v>0</v>
      </c>
    </row>
    <row r="8" spans="1:21" ht="22.05" customHeight="1" x14ac:dyDescent="0.45">
      <c r="A8" s="16" t="s">
        <v>7</v>
      </c>
      <c r="B8" s="35">
        <v>1</v>
      </c>
      <c r="C8" s="19">
        <v>5</v>
      </c>
      <c r="D8" s="114">
        <v>43265.208333333336</v>
      </c>
      <c r="E8" s="18">
        <v>0.86235072281583891</v>
      </c>
      <c r="F8" s="17">
        <v>0</v>
      </c>
      <c r="G8" s="6">
        <v>10</v>
      </c>
      <c r="H8" s="6">
        <v>5</v>
      </c>
      <c r="I8" s="2">
        <v>0</v>
      </c>
      <c r="J8" s="2">
        <v>0</v>
      </c>
      <c r="K8" s="2">
        <v>0</v>
      </c>
      <c r="L8" s="5">
        <v>0</v>
      </c>
      <c r="M8" s="5">
        <v>0</v>
      </c>
      <c r="N8" s="130">
        <v>0</v>
      </c>
      <c r="O8" s="130">
        <v>0</v>
      </c>
      <c r="P8" s="56">
        <v>0</v>
      </c>
      <c r="Q8" s="56">
        <v>0</v>
      </c>
      <c r="R8" s="56">
        <v>0</v>
      </c>
      <c r="S8" s="56">
        <v>0</v>
      </c>
      <c r="T8">
        <v>1</v>
      </c>
    </row>
    <row r="9" spans="1:21" ht="22.05" customHeight="1" x14ac:dyDescent="0.45">
      <c r="A9" s="16" t="s">
        <v>8</v>
      </c>
      <c r="B9" s="35">
        <v>20</v>
      </c>
      <c r="C9" s="19">
        <v>6</v>
      </c>
      <c r="D9" s="114">
        <v>43265.25</v>
      </c>
      <c r="E9" s="18">
        <v>2.4638592080452542</v>
      </c>
      <c r="F9" s="17">
        <v>0</v>
      </c>
      <c r="G9" s="6">
        <v>10</v>
      </c>
      <c r="H9" s="6">
        <v>5</v>
      </c>
      <c r="I9" s="2">
        <v>0</v>
      </c>
      <c r="J9" s="2">
        <v>0</v>
      </c>
      <c r="K9" s="2">
        <v>0</v>
      </c>
      <c r="L9" s="5">
        <v>0</v>
      </c>
      <c r="M9" s="5">
        <v>0</v>
      </c>
      <c r="N9" s="130">
        <v>0</v>
      </c>
      <c r="O9" s="130">
        <v>0</v>
      </c>
      <c r="P9" s="56">
        <v>0</v>
      </c>
      <c r="Q9" s="56">
        <v>0</v>
      </c>
      <c r="R9" s="56">
        <v>0</v>
      </c>
      <c r="S9" s="56">
        <v>0</v>
      </c>
      <c r="T9">
        <v>1</v>
      </c>
    </row>
    <row r="10" spans="1:21" ht="22.05" customHeight="1" x14ac:dyDescent="0.45">
      <c r="A10" s="16" t="s">
        <v>31</v>
      </c>
      <c r="B10" s="35">
        <v>20</v>
      </c>
      <c r="C10" s="19">
        <v>7</v>
      </c>
      <c r="D10" s="114">
        <v>43265.291666666664</v>
      </c>
      <c r="E10" s="18">
        <v>5.1125078566939024</v>
      </c>
      <c r="F10" s="17">
        <v>0.5980911983032875</v>
      </c>
      <c r="G10" s="6">
        <v>10</v>
      </c>
      <c r="H10" s="6">
        <v>5</v>
      </c>
      <c r="I10" s="2">
        <v>0</v>
      </c>
      <c r="J10" s="2">
        <v>0</v>
      </c>
      <c r="K10" s="2">
        <v>0</v>
      </c>
      <c r="L10" s="5">
        <v>0</v>
      </c>
      <c r="M10" s="5">
        <v>0</v>
      </c>
      <c r="N10" s="130">
        <v>0</v>
      </c>
      <c r="O10" s="130">
        <v>0</v>
      </c>
      <c r="P10" s="56">
        <v>0</v>
      </c>
      <c r="Q10" s="56">
        <v>0</v>
      </c>
      <c r="R10" s="56">
        <v>0</v>
      </c>
      <c r="S10" s="56">
        <v>0</v>
      </c>
      <c r="T10">
        <v>1</v>
      </c>
    </row>
    <row r="11" spans="1:21" ht="22.05" customHeight="1" x14ac:dyDescent="0.45">
      <c r="A11" s="16" t="s">
        <v>9</v>
      </c>
      <c r="B11" s="35">
        <v>10</v>
      </c>
      <c r="C11" s="19">
        <v>8</v>
      </c>
      <c r="D11" s="114">
        <v>43265.333333333336</v>
      </c>
      <c r="E11" s="18">
        <v>6.0364550597108728</v>
      </c>
      <c r="F11" s="17">
        <v>3.6882290562036055</v>
      </c>
      <c r="G11" s="6">
        <v>10</v>
      </c>
      <c r="H11" s="6">
        <v>5</v>
      </c>
      <c r="I11" s="2">
        <v>0</v>
      </c>
      <c r="J11" s="2">
        <v>0</v>
      </c>
      <c r="K11" s="2">
        <v>0</v>
      </c>
      <c r="L11" s="5">
        <v>0</v>
      </c>
      <c r="M11" s="5">
        <v>0</v>
      </c>
      <c r="N11" s="130">
        <v>0</v>
      </c>
      <c r="O11" s="130">
        <v>0</v>
      </c>
      <c r="P11" s="56">
        <v>0</v>
      </c>
      <c r="Q11" s="56">
        <v>0</v>
      </c>
      <c r="R11" s="56">
        <v>0</v>
      </c>
      <c r="S11" s="56">
        <v>0</v>
      </c>
      <c r="T11">
        <v>1</v>
      </c>
    </row>
    <row r="12" spans="1:21" ht="22.05" customHeight="1" x14ac:dyDescent="0.45">
      <c r="A12" s="16" t="s">
        <v>15</v>
      </c>
      <c r="B12" s="35">
        <v>10</v>
      </c>
      <c r="C12" s="19">
        <v>9</v>
      </c>
      <c r="D12" s="114">
        <v>43265.375</v>
      </c>
      <c r="E12" s="18">
        <v>5.9748585795097418</v>
      </c>
      <c r="F12" s="17">
        <v>6.3796394485683994</v>
      </c>
      <c r="G12" s="6">
        <v>10</v>
      </c>
      <c r="H12" s="6">
        <v>5</v>
      </c>
      <c r="I12" s="2">
        <v>0</v>
      </c>
      <c r="J12" s="2">
        <v>0</v>
      </c>
      <c r="K12" s="2">
        <v>0</v>
      </c>
      <c r="L12" s="5">
        <v>0</v>
      </c>
      <c r="M12" s="5">
        <v>0</v>
      </c>
      <c r="N12" s="130">
        <v>0</v>
      </c>
      <c r="O12" s="130">
        <v>0</v>
      </c>
      <c r="P12" s="56">
        <v>0</v>
      </c>
      <c r="Q12" s="56">
        <v>0</v>
      </c>
      <c r="R12" s="56">
        <v>0</v>
      </c>
      <c r="S12" s="56">
        <v>0</v>
      </c>
      <c r="T12">
        <v>0</v>
      </c>
    </row>
    <row r="13" spans="1:21" ht="22.05" customHeight="1" x14ac:dyDescent="0.45">
      <c r="A13" s="16" t="s">
        <v>32</v>
      </c>
      <c r="B13" s="35">
        <v>24</v>
      </c>
      <c r="C13" s="19">
        <v>10</v>
      </c>
      <c r="D13" s="114">
        <v>43265.416666666664</v>
      </c>
      <c r="E13" s="18">
        <v>3.1414204902576999</v>
      </c>
      <c r="F13" s="17">
        <v>9.4697773064687176</v>
      </c>
      <c r="G13" s="6">
        <v>10</v>
      </c>
      <c r="H13" s="6">
        <v>5</v>
      </c>
      <c r="I13" s="2">
        <v>0</v>
      </c>
      <c r="J13" s="2">
        <v>0</v>
      </c>
      <c r="K13" s="2">
        <v>0</v>
      </c>
      <c r="L13" s="5">
        <v>0</v>
      </c>
      <c r="M13" s="5">
        <v>0</v>
      </c>
      <c r="N13" s="130">
        <v>0</v>
      </c>
      <c r="O13" s="130">
        <v>0</v>
      </c>
      <c r="P13" s="56">
        <v>0</v>
      </c>
      <c r="Q13" s="56">
        <v>0</v>
      </c>
      <c r="R13" s="56">
        <v>0</v>
      </c>
      <c r="S13" s="56">
        <v>0</v>
      </c>
      <c r="T13">
        <v>0</v>
      </c>
    </row>
    <row r="14" spans="1:21" ht="22.05" customHeight="1" x14ac:dyDescent="0.45">
      <c r="A14" s="128" t="s">
        <v>10</v>
      </c>
      <c r="B14" s="129"/>
      <c r="C14" s="19">
        <v>11</v>
      </c>
      <c r="D14" s="114">
        <v>43265.458333333336</v>
      </c>
      <c r="E14" s="18">
        <v>1.2319296040226271</v>
      </c>
      <c r="F14" s="17">
        <v>11.064687168610817</v>
      </c>
      <c r="G14" s="6">
        <v>10</v>
      </c>
      <c r="H14" s="6">
        <v>5</v>
      </c>
      <c r="I14" s="2">
        <v>0</v>
      </c>
      <c r="J14" s="2">
        <v>0</v>
      </c>
      <c r="K14" s="2">
        <v>0</v>
      </c>
      <c r="L14" s="5">
        <v>0</v>
      </c>
      <c r="M14" s="5">
        <v>0</v>
      </c>
      <c r="N14" s="130">
        <v>0</v>
      </c>
      <c r="O14" s="130">
        <v>0</v>
      </c>
      <c r="P14" s="56">
        <v>0</v>
      </c>
      <c r="Q14" s="56">
        <v>0</v>
      </c>
      <c r="R14" s="56">
        <v>0</v>
      </c>
      <c r="S14" s="56">
        <v>0</v>
      </c>
      <c r="T14">
        <v>0</v>
      </c>
    </row>
    <row r="15" spans="1:21" ht="22.05" customHeight="1" x14ac:dyDescent="0.45">
      <c r="A15" s="164">
        <v>0</v>
      </c>
      <c r="B15" s="165"/>
      <c r="C15" s="19">
        <v>12</v>
      </c>
      <c r="D15" s="114">
        <v>43265.5</v>
      </c>
      <c r="E15" s="18">
        <v>1.539912005028284</v>
      </c>
      <c r="F15" s="17">
        <v>12.260869565217394</v>
      </c>
      <c r="G15" s="6">
        <v>10</v>
      </c>
      <c r="H15" s="6">
        <v>5</v>
      </c>
      <c r="I15" s="2">
        <v>0</v>
      </c>
      <c r="J15" s="2">
        <v>0</v>
      </c>
      <c r="K15" s="2">
        <v>0</v>
      </c>
      <c r="L15" s="5">
        <v>0</v>
      </c>
      <c r="M15" s="5">
        <v>0</v>
      </c>
      <c r="N15" s="130">
        <v>0</v>
      </c>
      <c r="O15" s="130">
        <v>0</v>
      </c>
      <c r="P15" s="56">
        <v>0</v>
      </c>
      <c r="Q15" s="56">
        <v>0</v>
      </c>
      <c r="R15" s="56">
        <v>0</v>
      </c>
      <c r="S15" s="56">
        <v>0</v>
      </c>
      <c r="T15">
        <v>0</v>
      </c>
    </row>
    <row r="16" spans="1:21" ht="22.05" customHeight="1" x14ac:dyDescent="0.45">
      <c r="A16" s="164">
        <v>0</v>
      </c>
      <c r="B16" s="165"/>
      <c r="C16" s="19">
        <v>13</v>
      </c>
      <c r="D16" s="114">
        <v>43265.541666666664</v>
      </c>
      <c r="E16" s="18">
        <v>6.5292269013199249</v>
      </c>
      <c r="F16" s="17">
        <v>9.6691410392364805</v>
      </c>
      <c r="G16" s="6">
        <v>10</v>
      </c>
      <c r="H16" s="6">
        <v>5</v>
      </c>
      <c r="I16" s="2">
        <v>0</v>
      </c>
      <c r="J16" s="2">
        <v>0</v>
      </c>
      <c r="K16" s="2">
        <v>0</v>
      </c>
      <c r="L16" s="5">
        <v>0</v>
      </c>
      <c r="M16" s="5">
        <v>0</v>
      </c>
      <c r="N16" s="130">
        <v>0</v>
      </c>
      <c r="O16" s="130">
        <v>0</v>
      </c>
      <c r="P16" s="56">
        <v>0</v>
      </c>
      <c r="Q16" s="56">
        <v>0</v>
      </c>
      <c r="R16" s="56">
        <v>0</v>
      </c>
      <c r="S16" s="56">
        <v>0</v>
      </c>
      <c r="T16">
        <v>0</v>
      </c>
    </row>
    <row r="17" spans="1:20" ht="22.05" customHeight="1" x14ac:dyDescent="0.3">
      <c r="A17" s="8"/>
      <c r="B17" s="8"/>
      <c r="C17" s="19">
        <v>14</v>
      </c>
      <c r="D17" s="114">
        <v>43265.583333333336</v>
      </c>
      <c r="E17" s="18">
        <v>6.7140163419233181</v>
      </c>
      <c r="F17" s="17">
        <v>8.6723223753976679</v>
      </c>
      <c r="G17" s="6">
        <v>10</v>
      </c>
      <c r="H17" s="6">
        <v>5</v>
      </c>
      <c r="I17" s="2">
        <v>0</v>
      </c>
      <c r="J17" s="2">
        <v>0</v>
      </c>
      <c r="K17" s="2">
        <v>0</v>
      </c>
      <c r="L17" s="5">
        <v>0</v>
      </c>
      <c r="M17" s="5">
        <v>0</v>
      </c>
      <c r="N17" s="130">
        <v>0</v>
      </c>
      <c r="O17" s="130">
        <v>0</v>
      </c>
      <c r="P17" s="56">
        <v>0</v>
      </c>
      <c r="Q17" s="56">
        <v>0</v>
      </c>
      <c r="R17" s="56">
        <v>0</v>
      </c>
      <c r="S17" s="56">
        <v>0</v>
      </c>
      <c r="T17">
        <v>0</v>
      </c>
    </row>
    <row r="18" spans="1:20" ht="22.05" customHeight="1" x14ac:dyDescent="0.3">
      <c r="A18" s="8"/>
      <c r="B18" s="8"/>
      <c r="C18" s="19">
        <v>15</v>
      </c>
      <c r="D18" s="114">
        <v>43265.625</v>
      </c>
      <c r="E18" s="18">
        <v>4.311753614079195</v>
      </c>
      <c r="F18" s="17">
        <v>7.8748674443266182</v>
      </c>
      <c r="G18" s="6">
        <v>10</v>
      </c>
      <c r="H18" s="6">
        <v>5</v>
      </c>
      <c r="I18" s="2">
        <v>0</v>
      </c>
      <c r="J18" s="2">
        <v>0</v>
      </c>
      <c r="K18" s="2">
        <v>0</v>
      </c>
      <c r="L18" s="5">
        <v>0</v>
      </c>
      <c r="M18" s="5">
        <v>0</v>
      </c>
      <c r="N18" s="130">
        <v>0</v>
      </c>
      <c r="O18" s="130">
        <v>0</v>
      </c>
      <c r="P18" s="56">
        <v>0</v>
      </c>
      <c r="Q18" s="56">
        <v>0</v>
      </c>
      <c r="R18" s="56">
        <v>0</v>
      </c>
      <c r="S18" s="56">
        <v>0</v>
      </c>
      <c r="T18">
        <v>0</v>
      </c>
    </row>
    <row r="19" spans="1:20" ht="22.05" customHeight="1" x14ac:dyDescent="0.45">
      <c r="A19" s="157"/>
      <c r="B19" s="157"/>
      <c r="C19" s="19">
        <v>16</v>
      </c>
      <c r="D19" s="114">
        <v>43265.666666666664</v>
      </c>
      <c r="E19" s="18">
        <v>4.8661219358893772</v>
      </c>
      <c r="F19" s="17">
        <v>8.1739130434782599</v>
      </c>
      <c r="G19" s="6">
        <v>10</v>
      </c>
      <c r="H19" s="6">
        <v>5</v>
      </c>
      <c r="I19" s="2">
        <v>0</v>
      </c>
      <c r="J19" s="2">
        <v>0</v>
      </c>
      <c r="K19" s="2">
        <v>0</v>
      </c>
      <c r="L19" s="5">
        <v>0</v>
      </c>
      <c r="M19" s="5">
        <v>0</v>
      </c>
      <c r="N19" s="130">
        <v>0</v>
      </c>
      <c r="O19" s="130">
        <v>0</v>
      </c>
      <c r="P19" s="56">
        <v>0</v>
      </c>
      <c r="Q19" s="56">
        <v>0</v>
      </c>
      <c r="R19" s="56">
        <v>0</v>
      </c>
      <c r="S19" s="56">
        <v>0</v>
      </c>
      <c r="T19">
        <v>0</v>
      </c>
    </row>
    <row r="20" spans="1:20" ht="22.05" customHeight="1" x14ac:dyDescent="0.3">
      <c r="A20" s="9"/>
      <c r="B20" s="9"/>
      <c r="C20" s="19">
        <v>17</v>
      </c>
      <c r="D20" s="114">
        <v>43265.708333333336</v>
      </c>
      <c r="E20" s="18">
        <v>5.4204902576995595</v>
      </c>
      <c r="F20" s="17">
        <v>6.4793213149522808</v>
      </c>
      <c r="G20" s="6">
        <v>10</v>
      </c>
      <c r="H20" s="6">
        <v>5</v>
      </c>
      <c r="I20" s="2">
        <v>0</v>
      </c>
      <c r="J20" s="2">
        <v>0</v>
      </c>
      <c r="K20" s="2">
        <v>0</v>
      </c>
      <c r="L20" s="5">
        <v>0</v>
      </c>
      <c r="M20" s="5">
        <v>0</v>
      </c>
      <c r="N20" s="130">
        <v>0</v>
      </c>
      <c r="O20" s="130">
        <v>0</v>
      </c>
      <c r="P20" s="56">
        <v>0</v>
      </c>
      <c r="Q20" s="56">
        <v>0</v>
      </c>
      <c r="R20" s="56">
        <v>0</v>
      </c>
      <c r="S20" s="56">
        <v>0</v>
      </c>
      <c r="T20">
        <v>0</v>
      </c>
    </row>
    <row r="21" spans="1:20" ht="22.05" customHeight="1" x14ac:dyDescent="0.3">
      <c r="C21" s="19">
        <v>18</v>
      </c>
      <c r="D21" s="114">
        <v>43265.75</v>
      </c>
      <c r="E21" s="18">
        <v>5.6668761785040846</v>
      </c>
      <c r="F21" s="17">
        <v>5.4825026511134682</v>
      </c>
      <c r="G21" s="6">
        <v>10</v>
      </c>
      <c r="H21" s="6">
        <v>5</v>
      </c>
      <c r="I21" s="2">
        <v>0</v>
      </c>
      <c r="J21" s="2">
        <v>0</v>
      </c>
      <c r="K21" s="2">
        <v>0</v>
      </c>
      <c r="L21" s="5">
        <v>0</v>
      </c>
      <c r="M21" s="5">
        <v>0</v>
      </c>
      <c r="N21" s="130">
        <v>0</v>
      </c>
      <c r="O21" s="130">
        <v>0</v>
      </c>
      <c r="P21" s="56">
        <v>0</v>
      </c>
      <c r="Q21" s="56">
        <v>0</v>
      </c>
      <c r="R21" s="56">
        <v>0</v>
      </c>
      <c r="S21" s="56">
        <v>0</v>
      </c>
      <c r="T21">
        <v>1</v>
      </c>
    </row>
    <row r="22" spans="1:20" ht="22.05" customHeight="1" x14ac:dyDescent="0.3">
      <c r="C22" s="19">
        <v>19</v>
      </c>
      <c r="D22" s="114">
        <v>43265.791666666664</v>
      </c>
      <c r="E22" s="18">
        <v>4.2501571338780639</v>
      </c>
      <c r="F22" s="17">
        <v>3.1898197242841997</v>
      </c>
      <c r="G22" s="6">
        <v>10</v>
      </c>
      <c r="H22" s="6">
        <v>5</v>
      </c>
      <c r="I22" s="2">
        <v>0</v>
      </c>
      <c r="J22" s="2">
        <v>0</v>
      </c>
      <c r="K22" s="2">
        <v>0</v>
      </c>
      <c r="L22" s="5">
        <v>0</v>
      </c>
      <c r="M22" s="5">
        <v>0</v>
      </c>
      <c r="N22" s="130">
        <v>0</v>
      </c>
      <c r="O22" s="130">
        <v>0</v>
      </c>
      <c r="P22" s="56">
        <v>0</v>
      </c>
      <c r="Q22" s="56">
        <v>0</v>
      </c>
      <c r="R22" s="56">
        <v>0</v>
      </c>
      <c r="S22" s="56">
        <v>0</v>
      </c>
      <c r="T22">
        <v>1</v>
      </c>
    </row>
    <row r="23" spans="1:20" ht="22.05" customHeight="1" x14ac:dyDescent="0.3">
      <c r="C23" s="19">
        <v>20</v>
      </c>
      <c r="D23" s="114">
        <v>43265.833333333336</v>
      </c>
      <c r="E23" s="18">
        <v>8.62350722815839</v>
      </c>
      <c r="F23" s="17">
        <v>0.99681866383881235</v>
      </c>
      <c r="G23" s="6">
        <v>10</v>
      </c>
      <c r="H23" s="6">
        <v>5</v>
      </c>
      <c r="I23" s="2">
        <v>0</v>
      </c>
      <c r="J23" s="2">
        <v>0</v>
      </c>
      <c r="K23" s="2">
        <v>0</v>
      </c>
      <c r="L23" s="5">
        <v>0</v>
      </c>
      <c r="M23" s="5">
        <v>0</v>
      </c>
      <c r="N23" s="130">
        <v>0</v>
      </c>
      <c r="O23" s="130">
        <v>0</v>
      </c>
      <c r="P23" s="56">
        <v>0</v>
      </c>
      <c r="Q23" s="56">
        <v>0</v>
      </c>
      <c r="R23" s="56">
        <v>0</v>
      </c>
      <c r="S23" s="56">
        <v>0</v>
      </c>
      <c r="T23">
        <v>1</v>
      </c>
    </row>
    <row r="24" spans="1:20" ht="22.05" customHeight="1" x14ac:dyDescent="0.3">
      <c r="C24" s="19">
        <v>21</v>
      </c>
      <c r="D24" s="114">
        <v>43265.875</v>
      </c>
      <c r="E24" s="18">
        <v>7.8843494657448137</v>
      </c>
      <c r="F24" s="17">
        <v>0</v>
      </c>
      <c r="G24" s="6">
        <v>10</v>
      </c>
      <c r="H24" s="6">
        <v>5</v>
      </c>
      <c r="I24" s="2">
        <v>0</v>
      </c>
      <c r="J24" s="2">
        <v>0</v>
      </c>
      <c r="K24" s="2">
        <v>0</v>
      </c>
      <c r="L24" s="5">
        <v>0</v>
      </c>
      <c r="M24" s="5">
        <v>0</v>
      </c>
      <c r="N24" s="130">
        <v>0</v>
      </c>
      <c r="O24" s="130">
        <v>0</v>
      </c>
      <c r="P24" s="56">
        <v>0</v>
      </c>
      <c r="Q24" s="56">
        <v>0</v>
      </c>
      <c r="R24" s="56">
        <v>0</v>
      </c>
      <c r="S24" s="56">
        <v>0</v>
      </c>
      <c r="T24">
        <v>0</v>
      </c>
    </row>
    <row r="25" spans="1:20" ht="22.05" customHeight="1" x14ac:dyDescent="0.3">
      <c r="C25" s="19">
        <v>22</v>
      </c>
      <c r="D25" s="114">
        <v>43265.916666666664</v>
      </c>
      <c r="E25" s="18">
        <v>5.7284726587052166</v>
      </c>
      <c r="F25" s="17">
        <v>0</v>
      </c>
      <c r="G25" s="6">
        <v>10</v>
      </c>
      <c r="H25" s="6">
        <v>5</v>
      </c>
      <c r="I25" s="2">
        <v>0</v>
      </c>
      <c r="J25" s="2">
        <v>0</v>
      </c>
      <c r="K25" s="2">
        <v>0</v>
      </c>
      <c r="L25" s="5">
        <v>0</v>
      </c>
      <c r="M25" s="5">
        <v>0</v>
      </c>
      <c r="N25" s="130">
        <v>0</v>
      </c>
      <c r="O25" s="130">
        <v>0</v>
      </c>
      <c r="P25" s="56">
        <v>0</v>
      </c>
      <c r="Q25" s="56">
        <v>0</v>
      </c>
      <c r="R25" s="56">
        <v>0</v>
      </c>
      <c r="S25" s="56">
        <v>0</v>
      </c>
      <c r="T25">
        <v>0</v>
      </c>
    </row>
    <row r="26" spans="1:20" ht="22.05" customHeight="1" x14ac:dyDescent="0.3">
      <c r="C26" s="19">
        <v>23</v>
      </c>
      <c r="D26" s="114">
        <v>43265.958333333336</v>
      </c>
      <c r="E26" s="18">
        <v>4.9277184160905092</v>
      </c>
      <c r="F26" s="17">
        <v>0</v>
      </c>
      <c r="G26" s="6">
        <v>10</v>
      </c>
      <c r="H26" s="6">
        <v>5</v>
      </c>
      <c r="I26" s="2">
        <v>0</v>
      </c>
      <c r="J26" s="2">
        <v>0</v>
      </c>
      <c r="K26" s="2">
        <v>0</v>
      </c>
      <c r="L26" s="5">
        <v>0</v>
      </c>
      <c r="M26" s="5">
        <v>0</v>
      </c>
      <c r="N26" s="130">
        <v>0</v>
      </c>
      <c r="O26" s="130">
        <v>0</v>
      </c>
      <c r="P26" s="56">
        <v>0</v>
      </c>
      <c r="Q26" s="56">
        <v>0</v>
      </c>
      <c r="R26" s="56">
        <v>0</v>
      </c>
      <c r="S26" s="56">
        <v>0</v>
      </c>
      <c r="T26">
        <v>1</v>
      </c>
    </row>
    <row r="27" spans="1:20" ht="22.05" customHeight="1" x14ac:dyDescent="0.3">
      <c r="C27" s="19">
        <v>24</v>
      </c>
      <c r="D27" s="114">
        <v>43266</v>
      </c>
      <c r="E27" s="18">
        <v>2.217473287240729</v>
      </c>
      <c r="F27" s="17">
        <v>0</v>
      </c>
      <c r="G27" s="6">
        <v>10</v>
      </c>
      <c r="H27" s="6">
        <v>5</v>
      </c>
      <c r="I27" s="2">
        <v>0</v>
      </c>
      <c r="J27" s="2">
        <v>0</v>
      </c>
      <c r="K27" s="2">
        <v>0</v>
      </c>
      <c r="L27" s="5">
        <v>0</v>
      </c>
      <c r="M27" s="5">
        <v>0</v>
      </c>
      <c r="N27" s="130">
        <v>0</v>
      </c>
      <c r="O27" s="130">
        <v>0</v>
      </c>
      <c r="P27" s="56">
        <v>0</v>
      </c>
      <c r="Q27" s="56">
        <v>0</v>
      </c>
      <c r="R27" s="56">
        <v>0</v>
      </c>
      <c r="S27" s="56">
        <v>0</v>
      </c>
      <c r="T27">
        <v>1</v>
      </c>
    </row>
    <row r="28" spans="1:20" ht="22.05" customHeight="1" x14ac:dyDescent="0.3">
      <c r="C28" s="19"/>
      <c r="D28" s="34"/>
      <c r="E28" s="2"/>
      <c r="F28" s="2"/>
      <c r="G28" s="2"/>
      <c r="H28" s="18"/>
      <c r="I28" s="17"/>
      <c r="J28" s="5"/>
      <c r="K28" s="5"/>
      <c r="L28" s="6"/>
      <c r="M28" s="6"/>
      <c r="N28" s="56"/>
      <c r="O28" s="56"/>
      <c r="P28" s="56"/>
      <c r="Q28" s="56"/>
    </row>
    <row r="29" spans="1:20" ht="22.05" customHeight="1" x14ac:dyDescent="0.3">
      <c r="C29" s="19"/>
      <c r="D29" s="34"/>
      <c r="E29" s="2"/>
      <c r="F29" s="2"/>
      <c r="G29" s="2"/>
      <c r="H29" s="18"/>
      <c r="I29" s="17"/>
      <c r="J29" s="5"/>
      <c r="K29" s="5"/>
      <c r="L29" s="6"/>
      <c r="M29" s="6"/>
      <c r="N29" s="56"/>
      <c r="O29" s="56"/>
      <c r="P29" s="56"/>
      <c r="Q29" s="56"/>
    </row>
    <row r="30" spans="1:20" ht="22.05" customHeight="1" x14ac:dyDescent="0.3">
      <c r="C30" s="19"/>
      <c r="D30" s="34"/>
      <c r="E30" s="2"/>
      <c r="F30" s="2"/>
      <c r="G30" s="2"/>
      <c r="H30" s="18"/>
      <c r="I30" s="17"/>
      <c r="J30" s="5"/>
      <c r="K30" s="5"/>
      <c r="L30" s="6"/>
      <c r="M30" s="6"/>
      <c r="N30" s="56"/>
      <c r="O30" s="56"/>
      <c r="P30" s="56"/>
      <c r="Q30" s="56"/>
    </row>
    <row r="31" spans="1:20" ht="22.05" customHeight="1" x14ac:dyDescent="0.3">
      <c r="C31" s="19"/>
      <c r="D31" s="34"/>
      <c r="E31" s="2"/>
      <c r="F31" s="2"/>
      <c r="G31" s="2"/>
      <c r="H31" s="18"/>
      <c r="I31" s="17"/>
      <c r="J31" s="5"/>
      <c r="K31" s="5"/>
      <c r="L31" s="6"/>
      <c r="M31" s="6"/>
      <c r="N31" s="56"/>
      <c r="O31" s="56"/>
      <c r="P31" s="56"/>
      <c r="Q31" s="56"/>
    </row>
    <row r="32" spans="1:20"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autoFilter ref="A14:B14" xr:uid="{F75FDEE0-E726-4BEE-A1DE-3B71E61F7484}"/>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BB3E9-5915-4F6B-912D-69927ADB975C}">
  <sheetPr codeName="Tabelle5"/>
  <dimension ref="A1:U100"/>
  <sheetViews>
    <sheetView zoomScale="55" zoomScaleNormal="55" workbookViewId="0">
      <selection activeCell="T3" sqref="T3:T27"/>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14" width="14.21875" style="1" customWidth="1"/>
    <col min="15" max="15" width="16.5546875" style="1" customWidth="1"/>
    <col min="16" max="19" width="13.77734375" style="1" customWidth="1"/>
    <col min="22" max="16384" width="11.5546875" style="1"/>
  </cols>
  <sheetData>
    <row r="1" spans="1:21" ht="41.4" customHeight="1" thickBot="1" x14ac:dyDescent="0.35">
      <c r="A1" s="158" t="s">
        <v>65</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c r="T3" t="s">
        <v>94</v>
      </c>
    </row>
    <row r="4" spans="1:21" ht="22.05" customHeight="1" x14ac:dyDescent="0.45">
      <c r="A4" s="16" t="s">
        <v>3</v>
      </c>
      <c r="B4" s="35">
        <v>0.1</v>
      </c>
      <c r="C4" s="49">
        <v>1</v>
      </c>
      <c r="D4" s="114">
        <v>43265.041666666664</v>
      </c>
      <c r="E4" s="51">
        <v>1.1892067620286089</v>
      </c>
      <c r="F4" s="17">
        <v>0</v>
      </c>
      <c r="G4" s="54">
        <v>10</v>
      </c>
      <c r="H4" s="54">
        <v>5</v>
      </c>
      <c r="I4" s="36">
        <v>0</v>
      </c>
      <c r="J4" s="36">
        <v>0</v>
      </c>
      <c r="K4" s="36">
        <v>0</v>
      </c>
      <c r="L4" s="53">
        <v>0</v>
      </c>
      <c r="M4" s="53">
        <v>0</v>
      </c>
      <c r="N4" s="130">
        <v>0</v>
      </c>
      <c r="O4" s="130">
        <v>0</v>
      </c>
      <c r="P4" s="56">
        <v>0</v>
      </c>
      <c r="Q4" s="56">
        <v>0</v>
      </c>
      <c r="R4" s="56">
        <v>0</v>
      </c>
      <c r="S4" s="56">
        <v>0</v>
      </c>
      <c r="T4">
        <v>1</v>
      </c>
    </row>
    <row r="5" spans="1:21" ht="22.05" customHeight="1" x14ac:dyDescent="0.45">
      <c r="A5" s="16" t="s">
        <v>4</v>
      </c>
      <c r="B5" s="35">
        <v>5</v>
      </c>
      <c r="C5" s="19">
        <v>2</v>
      </c>
      <c r="D5" s="114">
        <v>43265.083333333336</v>
      </c>
      <c r="E5" s="18">
        <v>1.2093628088426529</v>
      </c>
      <c r="F5" s="17">
        <v>0</v>
      </c>
      <c r="G5" s="6">
        <v>10</v>
      </c>
      <c r="H5" s="6">
        <v>5</v>
      </c>
      <c r="I5" s="2">
        <v>0</v>
      </c>
      <c r="J5" s="2">
        <v>0</v>
      </c>
      <c r="K5" s="2">
        <v>0</v>
      </c>
      <c r="L5" s="5">
        <v>0</v>
      </c>
      <c r="M5" s="5">
        <v>0</v>
      </c>
      <c r="N5" s="130">
        <v>0</v>
      </c>
      <c r="O5" s="130">
        <v>0</v>
      </c>
      <c r="P5" s="56">
        <v>0</v>
      </c>
      <c r="Q5" s="56">
        <v>0</v>
      </c>
      <c r="R5" s="56">
        <v>0</v>
      </c>
      <c r="S5" s="56">
        <v>0</v>
      </c>
      <c r="T5">
        <v>1</v>
      </c>
    </row>
    <row r="6" spans="1:21" ht="22.05" customHeight="1" x14ac:dyDescent="0.45">
      <c r="A6" s="16" t="s">
        <v>5</v>
      </c>
      <c r="B6" s="35">
        <v>0.5</v>
      </c>
      <c r="C6" s="19">
        <v>3</v>
      </c>
      <c r="D6" s="114">
        <v>43265.125</v>
      </c>
      <c r="E6" s="18">
        <v>0.8062418725617686</v>
      </c>
      <c r="F6" s="17">
        <v>0</v>
      </c>
      <c r="G6" s="6">
        <v>10</v>
      </c>
      <c r="H6" s="6">
        <v>5</v>
      </c>
      <c r="I6" s="2">
        <v>0</v>
      </c>
      <c r="J6" s="2">
        <v>0</v>
      </c>
      <c r="K6" s="2">
        <v>0</v>
      </c>
      <c r="L6" s="5">
        <v>0</v>
      </c>
      <c r="M6" s="5">
        <v>0</v>
      </c>
      <c r="N6" s="130">
        <v>0</v>
      </c>
      <c r="O6" s="130">
        <v>0</v>
      </c>
      <c r="P6" s="56">
        <v>0</v>
      </c>
      <c r="Q6" s="56">
        <v>0</v>
      </c>
      <c r="R6" s="56">
        <v>0</v>
      </c>
      <c r="S6" s="56">
        <v>0</v>
      </c>
      <c r="T6">
        <v>0</v>
      </c>
    </row>
    <row r="7" spans="1:21" ht="22.05" customHeight="1" x14ac:dyDescent="0.45">
      <c r="A7" s="16" t="s">
        <v>6</v>
      </c>
      <c r="B7" s="35">
        <v>20</v>
      </c>
      <c r="C7" s="19">
        <v>4</v>
      </c>
      <c r="D7" s="114">
        <v>43265.166666666664</v>
      </c>
      <c r="E7" s="18">
        <v>0.52405721716514964</v>
      </c>
      <c r="F7" s="17">
        <v>0</v>
      </c>
      <c r="G7" s="6">
        <v>10</v>
      </c>
      <c r="H7" s="6">
        <v>5</v>
      </c>
      <c r="I7" s="2">
        <v>0</v>
      </c>
      <c r="J7" s="2">
        <v>0</v>
      </c>
      <c r="K7" s="2">
        <v>0</v>
      </c>
      <c r="L7" s="5">
        <v>0</v>
      </c>
      <c r="M7" s="5">
        <v>0</v>
      </c>
      <c r="N7" s="130">
        <v>0</v>
      </c>
      <c r="O7" s="130">
        <v>0</v>
      </c>
      <c r="P7" s="56">
        <v>0</v>
      </c>
      <c r="Q7" s="56">
        <v>0</v>
      </c>
      <c r="R7" s="56">
        <v>0</v>
      </c>
      <c r="S7" s="56">
        <v>0</v>
      </c>
      <c r="T7">
        <v>0</v>
      </c>
    </row>
    <row r="8" spans="1:21" ht="22.05" customHeight="1" x14ac:dyDescent="0.45">
      <c r="A8" s="16" t="s">
        <v>7</v>
      </c>
      <c r="B8" s="35">
        <v>1</v>
      </c>
      <c r="C8" s="19">
        <v>5</v>
      </c>
      <c r="D8" s="114">
        <v>43265.208333333336</v>
      </c>
      <c r="E8" s="18">
        <v>0.4031209362808843</v>
      </c>
      <c r="F8" s="17">
        <v>0</v>
      </c>
      <c r="G8" s="6">
        <v>10</v>
      </c>
      <c r="H8" s="6">
        <v>5</v>
      </c>
      <c r="I8" s="2">
        <v>0</v>
      </c>
      <c r="J8" s="2">
        <v>0</v>
      </c>
      <c r="K8" s="2">
        <v>0</v>
      </c>
      <c r="L8" s="5">
        <v>0</v>
      </c>
      <c r="M8" s="5">
        <v>0</v>
      </c>
      <c r="N8" s="130">
        <v>0</v>
      </c>
      <c r="O8" s="130">
        <v>0</v>
      </c>
      <c r="P8" s="56">
        <v>0</v>
      </c>
      <c r="Q8" s="56">
        <v>0</v>
      </c>
      <c r="R8" s="56">
        <v>0</v>
      </c>
      <c r="S8" s="56">
        <v>0</v>
      </c>
      <c r="T8">
        <v>1</v>
      </c>
    </row>
    <row r="9" spans="1:21" ht="22.05" customHeight="1" x14ac:dyDescent="0.45">
      <c r="A9" s="16" t="s">
        <v>8</v>
      </c>
      <c r="B9" s="35">
        <v>20</v>
      </c>
      <c r="C9" s="19">
        <v>6</v>
      </c>
      <c r="D9" s="114">
        <v>43265.25</v>
      </c>
      <c r="E9" s="18">
        <v>0.60468140442132645</v>
      </c>
      <c r="F9" s="17">
        <v>0.14504596527068433</v>
      </c>
      <c r="G9" s="6">
        <v>10</v>
      </c>
      <c r="H9" s="6">
        <v>5</v>
      </c>
      <c r="I9" s="2">
        <v>0</v>
      </c>
      <c r="J9" s="2">
        <v>0</v>
      </c>
      <c r="K9" s="2">
        <v>0</v>
      </c>
      <c r="L9" s="5">
        <v>0</v>
      </c>
      <c r="M9" s="5">
        <v>0</v>
      </c>
      <c r="N9" s="130">
        <v>0</v>
      </c>
      <c r="O9" s="130">
        <v>0</v>
      </c>
      <c r="P9" s="56">
        <v>0</v>
      </c>
      <c r="Q9" s="56">
        <v>0</v>
      </c>
      <c r="R9" s="56">
        <v>0</v>
      </c>
      <c r="S9" s="56">
        <v>0</v>
      </c>
      <c r="T9">
        <v>1</v>
      </c>
    </row>
    <row r="10" spans="1:21" ht="22.05" customHeight="1" x14ac:dyDescent="0.45">
      <c r="A10" s="16" t="s">
        <v>31</v>
      </c>
      <c r="B10" s="35">
        <v>20</v>
      </c>
      <c r="C10" s="19">
        <v>7</v>
      </c>
      <c r="D10" s="114">
        <v>43265.291666666664</v>
      </c>
      <c r="E10" s="18">
        <v>0.40312093628088436</v>
      </c>
      <c r="F10" s="17">
        <v>2.6108273748723181</v>
      </c>
      <c r="G10" s="6">
        <v>10</v>
      </c>
      <c r="H10" s="6">
        <v>5</v>
      </c>
      <c r="I10" s="2">
        <v>0</v>
      </c>
      <c r="J10" s="2">
        <v>0</v>
      </c>
      <c r="K10" s="2">
        <v>0</v>
      </c>
      <c r="L10" s="5">
        <v>0</v>
      </c>
      <c r="M10" s="5">
        <v>0</v>
      </c>
      <c r="N10" s="130">
        <v>0</v>
      </c>
      <c r="O10" s="130">
        <v>0</v>
      </c>
      <c r="P10" s="56">
        <v>0</v>
      </c>
      <c r="Q10" s="56">
        <v>0</v>
      </c>
      <c r="R10" s="56">
        <v>0</v>
      </c>
      <c r="S10" s="56">
        <v>0</v>
      </c>
      <c r="T10">
        <v>0</v>
      </c>
    </row>
    <row r="11" spans="1:21" ht="22.05" customHeight="1" x14ac:dyDescent="0.45">
      <c r="A11" s="16" t="s">
        <v>9</v>
      </c>
      <c r="B11" s="35">
        <v>10</v>
      </c>
      <c r="C11" s="19">
        <v>8</v>
      </c>
      <c r="D11" s="114">
        <v>43265.333333333336</v>
      </c>
      <c r="E11" s="18">
        <v>0.26980884265279581</v>
      </c>
      <c r="F11" s="17">
        <v>6.1041144024514802</v>
      </c>
      <c r="G11" s="6">
        <v>10</v>
      </c>
      <c r="H11" s="6">
        <v>5</v>
      </c>
      <c r="I11" s="2">
        <v>0</v>
      </c>
      <c r="J11" s="2">
        <v>0</v>
      </c>
      <c r="K11" s="2">
        <v>0</v>
      </c>
      <c r="L11" s="5">
        <v>0</v>
      </c>
      <c r="M11" s="5">
        <v>0</v>
      </c>
      <c r="N11" s="130">
        <v>0</v>
      </c>
      <c r="O11" s="130">
        <v>0</v>
      </c>
      <c r="P11" s="56">
        <v>0</v>
      </c>
      <c r="Q11" s="56">
        <v>0</v>
      </c>
      <c r="R11" s="56">
        <v>0</v>
      </c>
      <c r="S11" s="56">
        <v>0</v>
      </c>
      <c r="T11">
        <v>0</v>
      </c>
    </row>
    <row r="12" spans="1:21" ht="22.05" customHeight="1" x14ac:dyDescent="0.45">
      <c r="A12" s="16" t="s">
        <v>15</v>
      </c>
      <c r="B12" s="35">
        <v>10</v>
      </c>
      <c r="C12" s="19">
        <v>9</v>
      </c>
      <c r="D12" s="114">
        <v>43265.375</v>
      </c>
      <c r="E12" s="18">
        <v>0.84349024707412235</v>
      </c>
      <c r="F12" s="17">
        <v>8.0658610827374844</v>
      </c>
      <c r="G12" s="6">
        <v>10</v>
      </c>
      <c r="H12" s="6">
        <v>5</v>
      </c>
      <c r="I12" s="2">
        <v>0</v>
      </c>
      <c r="J12" s="2">
        <v>0</v>
      </c>
      <c r="K12" s="2">
        <v>0</v>
      </c>
      <c r="L12" s="5">
        <v>0</v>
      </c>
      <c r="M12" s="5">
        <v>0</v>
      </c>
      <c r="N12" s="130">
        <v>0</v>
      </c>
      <c r="O12" s="130">
        <v>0</v>
      </c>
      <c r="P12" s="56">
        <v>0</v>
      </c>
      <c r="Q12" s="56">
        <v>0</v>
      </c>
      <c r="R12" s="56">
        <v>0</v>
      </c>
      <c r="S12" s="56">
        <v>0</v>
      </c>
      <c r="T12">
        <v>0</v>
      </c>
    </row>
    <row r="13" spans="1:21" ht="22.05" customHeight="1" x14ac:dyDescent="0.45">
      <c r="A13" s="16" t="s">
        <v>32</v>
      </c>
      <c r="B13" s="35">
        <v>24</v>
      </c>
      <c r="C13" s="19">
        <v>10</v>
      </c>
      <c r="D13" s="114">
        <v>43265.416666666664</v>
      </c>
      <c r="E13" s="18">
        <v>1.1256749024707413</v>
      </c>
      <c r="F13" s="17">
        <v>12.395918283963226</v>
      </c>
      <c r="G13" s="6">
        <v>10</v>
      </c>
      <c r="H13" s="6">
        <v>5</v>
      </c>
      <c r="I13" s="2">
        <v>0</v>
      </c>
      <c r="J13" s="2">
        <v>0</v>
      </c>
      <c r="K13" s="2">
        <v>0</v>
      </c>
      <c r="L13" s="5">
        <v>0</v>
      </c>
      <c r="M13" s="5">
        <v>0</v>
      </c>
      <c r="N13" s="130">
        <v>0</v>
      </c>
      <c r="O13" s="130">
        <v>0</v>
      </c>
      <c r="P13" s="56">
        <v>0</v>
      </c>
      <c r="Q13" s="56">
        <v>0</v>
      </c>
      <c r="R13" s="56">
        <v>0</v>
      </c>
      <c r="S13" s="56">
        <v>0</v>
      </c>
      <c r="T13">
        <v>0</v>
      </c>
    </row>
    <row r="14" spans="1:21" ht="22.05" customHeight="1" x14ac:dyDescent="0.45">
      <c r="A14" s="128" t="s">
        <v>10</v>
      </c>
      <c r="B14" s="129"/>
      <c r="C14" s="19">
        <v>11</v>
      </c>
      <c r="D14" s="114">
        <v>43265.458333333336</v>
      </c>
      <c r="E14" s="18">
        <v>0.92411443433029927</v>
      </c>
      <c r="F14" s="17">
        <v>13.498412665985697</v>
      </c>
      <c r="G14" s="6">
        <v>10</v>
      </c>
      <c r="H14" s="6">
        <v>5</v>
      </c>
      <c r="I14" s="2">
        <v>0</v>
      </c>
      <c r="J14" s="2">
        <v>0</v>
      </c>
      <c r="K14" s="2">
        <v>0</v>
      </c>
      <c r="L14" s="5">
        <v>0</v>
      </c>
      <c r="M14" s="5">
        <v>0</v>
      </c>
      <c r="N14" s="130">
        <v>0</v>
      </c>
      <c r="O14" s="130">
        <v>0</v>
      </c>
      <c r="P14" s="56">
        <v>0</v>
      </c>
      <c r="Q14" s="56">
        <v>0</v>
      </c>
      <c r="R14" s="56">
        <v>0</v>
      </c>
      <c r="S14" s="56">
        <v>0</v>
      </c>
      <c r="T14">
        <v>0</v>
      </c>
    </row>
    <row r="15" spans="1:21" ht="22.05" customHeight="1" x14ac:dyDescent="0.45">
      <c r="A15" s="164">
        <v>0</v>
      </c>
      <c r="B15" s="165"/>
      <c r="C15" s="19">
        <v>12</v>
      </c>
      <c r="D15" s="114">
        <v>43265.5</v>
      </c>
      <c r="E15" s="18">
        <v>1.1458309492847858</v>
      </c>
      <c r="F15" s="17">
        <v>18.565883554647595</v>
      </c>
      <c r="G15" s="6">
        <v>10</v>
      </c>
      <c r="H15" s="6">
        <v>5</v>
      </c>
      <c r="I15" s="2">
        <v>0</v>
      </c>
      <c r="J15" s="2">
        <v>0</v>
      </c>
      <c r="K15" s="2">
        <v>0</v>
      </c>
      <c r="L15" s="5">
        <v>0</v>
      </c>
      <c r="M15" s="5">
        <v>0</v>
      </c>
      <c r="N15" s="130">
        <v>0</v>
      </c>
      <c r="O15" s="130">
        <v>0</v>
      </c>
      <c r="P15" s="56">
        <v>0</v>
      </c>
      <c r="Q15" s="56">
        <v>0</v>
      </c>
      <c r="R15" s="56">
        <v>0</v>
      </c>
      <c r="S15" s="56">
        <v>0</v>
      </c>
      <c r="T15">
        <v>0</v>
      </c>
    </row>
    <row r="16" spans="1:21" ht="22.05" customHeight="1" x14ac:dyDescent="0.45">
      <c r="A16" s="164">
        <v>0</v>
      </c>
      <c r="B16" s="165"/>
      <c r="C16" s="19">
        <v>13</v>
      </c>
      <c r="D16" s="114">
        <v>43265.541666666664</v>
      </c>
      <c r="E16" s="18">
        <v>0.68224187256176871</v>
      </c>
      <c r="F16" s="17">
        <v>17.40551583248212</v>
      </c>
      <c r="G16" s="6">
        <v>10</v>
      </c>
      <c r="H16" s="6">
        <v>5</v>
      </c>
      <c r="I16" s="2">
        <v>0</v>
      </c>
      <c r="J16" s="2">
        <v>0</v>
      </c>
      <c r="K16" s="2">
        <v>0</v>
      </c>
      <c r="L16" s="5">
        <v>0</v>
      </c>
      <c r="M16" s="5">
        <v>0</v>
      </c>
      <c r="N16" s="130">
        <v>0</v>
      </c>
      <c r="O16" s="130">
        <v>0</v>
      </c>
      <c r="P16" s="56">
        <v>0</v>
      </c>
      <c r="Q16" s="56">
        <v>0</v>
      </c>
      <c r="R16" s="56">
        <v>0</v>
      </c>
      <c r="S16" s="56">
        <v>0</v>
      </c>
      <c r="T16">
        <v>0</v>
      </c>
    </row>
    <row r="17" spans="1:20" ht="22.05" customHeight="1" x14ac:dyDescent="0.3">
      <c r="A17" s="8"/>
      <c r="B17" s="8"/>
      <c r="C17" s="19">
        <v>14</v>
      </c>
      <c r="D17" s="114">
        <v>43265.583333333336</v>
      </c>
      <c r="E17" s="18">
        <v>0.82486605981794547</v>
      </c>
      <c r="F17" s="17">
        <v>14.794688457609803</v>
      </c>
      <c r="G17" s="6">
        <v>10</v>
      </c>
      <c r="H17" s="6">
        <v>5</v>
      </c>
      <c r="I17" s="2">
        <v>0</v>
      </c>
      <c r="J17" s="2">
        <v>0</v>
      </c>
      <c r="K17" s="2">
        <v>0</v>
      </c>
      <c r="L17" s="5">
        <v>0</v>
      </c>
      <c r="M17" s="5">
        <v>0</v>
      </c>
      <c r="N17" s="130">
        <v>0</v>
      </c>
      <c r="O17" s="130">
        <v>0</v>
      </c>
      <c r="P17" s="56">
        <v>0</v>
      </c>
      <c r="Q17" s="56">
        <v>0</v>
      </c>
      <c r="R17" s="56">
        <v>0</v>
      </c>
      <c r="S17" s="56">
        <v>0</v>
      </c>
      <c r="T17">
        <v>0</v>
      </c>
    </row>
    <row r="18" spans="1:20" ht="22.05" customHeight="1" x14ac:dyDescent="0.3">
      <c r="A18" s="8"/>
      <c r="B18" s="8"/>
      <c r="C18" s="19">
        <v>15</v>
      </c>
      <c r="D18" s="114">
        <v>43265.625</v>
      </c>
      <c r="E18" s="18">
        <v>0.66514954486345923</v>
      </c>
      <c r="F18" s="17">
        <v>15.927642492339119</v>
      </c>
      <c r="G18" s="6">
        <v>10</v>
      </c>
      <c r="H18" s="6">
        <v>5</v>
      </c>
      <c r="I18" s="2">
        <v>0</v>
      </c>
      <c r="J18" s="2">
        <v>0</v>
      </c>
      <c r="K18" s="2">
        <v>0</v>
      </c>
      <c r="L18" s="5">
        <v>0</v>
      </c>
      <c r="M18" s="5">
        <v>0</v>
      </c>
      <c r="N18" s="130">
        <v>0</v>
      </c>
      <c r="O18" s="130">
        <v>0</v>
      </c>
      <c r="P18" s="56">
        <v>0</v>
      </c>
      <c r="Q18" s="56">
        <v>0</v>
      </c>
      <c r="R18" s="56">
        <v>0</v>
      </c>
      <c r="S18" s="56">
        <v>0</v>
      </c>
      <c r="T18">
        <v>0</v>
      </c>
    </row>
    <row r="19" spans="1:20" ht="22.05" customHeight="1" x14ac:dyDescent="0.45">
      <c r="A19" s="157"/>
      <c r="B19" s="157"/>
      <c r="C19" s="19">
        <v>16</v>
      </c>
      <c r="D19" s="114">
        <v>43265.666666666664</v>
      </c>
      <c r="E19" s="18">
        <v>0.50390117035110538</v>
      </c>
      <c r="F19" s="17">
        <v>17.175182839632274</v>
      </c>
      <c r="G19" s="6">
        <v>10</v>
      </c>
      <c r="H19" s="6">
        <v>5</v>
      </c>
      <c r="I19" s="2">
        <v>0</v>
      </c>
      <c r="J19" s="2">
        <v>0</v>
      </c>
      <c r="K19" s="2">
        <v>0</v>
      </c>
      <c r="L19" s="5">
        <v>0</v>
      </c>
      <c r="M19" s="5">
        <v>0</v>
      </c>
      <c r="N19" s="130">
        <v>0</v>
      </c>
      <c r="O19" s="130">
        <v>0</v>
      </c>
      <c r="P19" s="56">
        <v>0</v>
      </c>
      <c r="Q19" s="56">
        <v>0</v>
      </c>
      <c r="R19" s="56">
        <v>0</v>
      </c>
      <c r="S19" s="56">
        <v>0</v>
      </c>
      <c r="T19">
        <v>0</v>
      </c>
    </row>
    <row r="20" spans="1:20" ht="22.05" customHeight="1" x14ac:dyDescent="0.3">
      <c r="A20" s="9"/>
      <c r="B20" s="9"/>
      <c r="C20" s="19">
        <v>17</v>
      </c>
      <c r="D20" s="114">
        <v>43265.708333333336</v>
      </c>
      <c r="E20" s="18">
        <v>1.2698309492847857</v>
      </c>
      <c r="F20" s="17">
        <v>12.119895812053116</v>
      </c>
      <c r="G20" s="6">
        <v>10</v>
      </c>
      <c r="H20" s="6">
        <v>5</v>
      </c>
      <c r="I20" s="2">
        <v>0</v>
      </c>
      <c r="J20" s="2">
        <v>0</v>
      </c>
      <c r="K20" s="2">
        <v>0</v>
      </c>
      <c r="L20" s="5">
        <v>0</v>
      </c>
      <c r="M20" s="5">
        <v>0</v>
      </c>
      <c r="N20" s="130">
        <v>0</v>
      </c>
      <c r="O20" s="130">
        <v>0</v>
      </c>
      <c r="P20" s="56">
        <v>0</v>
      </c>
      <c r="Q20" s="56">
        <v>0</v>
      </c>
      <c r="R20" s="56">
        <v>0</v>
      </c>
      <c r="S20" s="56">
        <v>0</v>
      </c>
      <c r="T20">
        <v>0</v>
      </c>
    </row>
    <row r="21" spans="1:20" ht="22.05" customHeight="1" x14ac:dyDescent="0.3">
      <c r="C21" s="19">
        <v>18</v>
      </c>
      <c r="D21" s="114">
        <v>43265.75</v>
      </c>
      <c r="E21" s="18">
        <v>2.3985695708712615</v>
      </c>
      <c r="F21" s="17">
        <v>2.4657814096016337</v>
      </c>
      <c r="G21" s="6">
        <v>10</v>
      </c>
      <c r="H21" s="6">
        <v>5</v>
      </c>
      <c r="I21" s="2">
        <v>0</v>
      </c>
      <c r="J21" s="2">
        <v>0</v>
      </c>
      <c r="K21" s="2">
        <v>0</v>
      </c>
      <c r="L21" s="5">
        <v>0</v>
      </c>
      <c r="M21" s="5">
        <v>0</v>
      </c>
      <c r="N21" s="130">
        <v>0</v>
      </c>
      <c r="O21" s="130">
        <v>0</v>
      </c>
      <c r="P21" s="56">
        <v>0</v>
      </c>
      <c r="Q21" s="56">
        <v>0</v>
      </c>
      <c r="R21" s="56">
        <v>0</v>
      </c>
      <c r="S21" s="56">
        <v>0</v>
      </c>
      <c r="T21">
        <v>0</v>
      </c>
    </row>
    <row r="22" spans="1:20" ht="22.05" customHeight="1" x14ac:dyDescent="0.3">
      <c r="C22" s="19">
        <v>19</v>
      </c>
      <c r="D22" s="114">
        <v>43265.791666666664</v>
      </c>
      <c r="E22" s="18">
        <v>2.781534460338102</v>
      </c>
      <c r="F22" s="17">
        <v>0.7252298263534217</v>
      </c>
      <c r="G22" s="6">
        <v>10</v>
      </c>
      <c r="H22" s="6">
        <v>5</v>
      </c>
      <c r="I22" s="2">
        <v>0</v>
      </c>
      <c r="J22" s="2">
        <v>0</v>
      </c>
      <c r="K22" s="2">
        <v>0</v>
      </c>
      <c r="L22" s="5">
        <v>0</v>
      </c>
      <c r="M22" s="5">
        <v>0</v>
      </c>
      <c r="N22" s="130">
        <v>0</v>
      </c>
      <c r="O22" s="130">
        <v>0</v>
      </c>
      <c r="P22" s="56">
        <v>0</v>
      </c>
      <c r="Q22" s="56">
        <v>0</v>
      </c>
      <c r="R22" s="56">
        <v>0</v>
      </c>
      <c r="S22" s="56">
        <v>0</v>
      </c>
      <c r="T22">
        <v>1</v>
      </c>
    </row>
    <row r="23" spans="1:20" ht="22.05" customHeight="1" x14ac:dyDescent="0.3">
      <c r="C23" s="19">
        <v>20</v>
      </c>
      <c r="D23" s="114">
        <v>43265.833333333336</v>
      </c>
      <c r="E23" s="18">
        <v>2.8621586475942782</v>
      </c>
      <c r="F23" s="17">
        <v>0</v>
      </c>
      <c r="G23" s="6">
        <v>10</v>
      </c>
      <c r="H23" s="6">
        <v>5</v>
      </c>
      <c r="I23" s="2">
        <v>0</v>
      </c>
      <c r="J23" s="2">
        <v>0</v>
      </c>
      <c r="K23" s="2">
        <v>0</v>
      </c>
      <c r="L23" s="5">
        <v>0</v>
      </c>
      <c r="M23" s="5">
        <v>0</v>
      </c>
      <c r="N23" s="130">
        <v>0</v>
      </c>
      <c r="O23" s="130">
        <v>0</v>
      </c>
      <c r="P23" s="56">
        <v>0</v>
      </c>
      <c r="Q23" s="56">
        <v>0</v>
      </c>
      <c r="R23" s="56">
        <v>0</v>
      </c>
      <c r="S23" s="56">
        <v>0</v>
      </c>
      <c r="T23">
        <v>1</v>
      </c>
    </row>
    <row r="24" spans="1:20" ht="22.05" customHeight="1" x14ac:dyDescent="0.3">
      <c r="C24" s="19">
        <v>21</v>
      </c>
      <c r="D24" s="114">
        <v>43265.875</v>
      </c>
      <c r="E24" s="18">
        <v>3.1891905071521425</v>
      </c>
      <c r="F24" s="17">
        <v>0</v>
      </c>
      <c r="G24" s="6">
        <v>10</v>
      </c>
      <c r="H24" s="6">
        <v>5</v>
      </c>
      <c r="I24" s="2">
        <v>0</v>
      </c>
      <c r="J24" s="2">
        <v>0</v>
      </c>
      <c r="K24" s="2">
        <v>0</v>
      </c>
      <c r="L24" s="5">
        <v>0</v>
      </c>
      <c r="M24" s="5">
        <v>0</v>
      </c>
      <c r="N24" s="130">
        <v>0</v>
      </c>
      <c r="O24" s="130">
        <v>0</v>
      </c>
      <c r="P24" s="56">
        <v>0</v>
      </c>
      <c r="Q24" s="56">
        <v>0</v>
      </c>
      <c r="R24" s="56">
        <v>0</v>
      </c>
      <c r="S24" s="56">
        <v>0</v>
      </c>
      <c r="T24">
        <v>0</v>
      </c>
    </row>
    <row r="25" spans="1:20" ht="22.05" customHeight="1" x14ac:dyDescent="0.3">
      <c r="C25" s="19">
        <v>22</v>
      </c>
      <c r="D25" s="114">
        <v>43265.916666666664</v>
      </c>
      <c r="E25" s="18">
        <v>2.4434167750325066</v>
      </c>
      <c r="F25" s="17">
        <v>0</v>
      </c>
      <c r="G25" s="6">
        <v>10</v>
      </c>
      <c r="H25" s="6">
        <v>5</v>
      </c>
      <c r="I25" s="2">
        <v>0</v>
      </c>
      <c r="J25" s="2">
        <v>0</v>
      </c>
      <c r="K25" s="2">
        <v>0</v>
      </c>
      <c r="L25" s="5">
        <v>0</v>
      </c>
      <c r="M25" s="5">
        <v>0</v>
      </c>
      <c r="N25" s="130">
        <v>0</v>
      </c>
      <c r="O25" s="130">
        <v>0</v>
      </c>
      <c r="P25" s="56">
        <v>0</v>
      </c>
      <c r="Q25" s="56">
        <v>0</v>
      </c>
      <c r="R25" s="56">
        <v>0</v>
      </c>
      <c r="S25" s="56">
        <v>0</v>
      </c>
      <c r="T25">
        <v>0</v>
      </c>
    </row>
    <row r="26" spans="1:20" ht="22.05" customHeight="1" x14ac:dyDescent="0.3">
      <c r="C26" s="19">
        <v>23</v>
      </c>
      <c r="D26" s="114">
        <v>43265.958333333336</v>
      </c>
      <c r="E26" s="18">
        <v>2.05591677503251</v>
      </c>
      <c r="F26" s="17">
        <v>0</v>
      </c>
      <c r="G26" s="6">
        <v>10</v>
      </c>
      <c r="H26" s="6">
        <v>5</v>
      </c>
      <c r="I26" s="2">
        <v>0</v>
      </c>
      <c r="J26" s="2">
        <v>0</v>
      </c>
      <c r="K26" s="2">
        <v>0</v>
      </c>
      <c r="L26" s="5">
        <v>0</v>
      </c>
      <c r="M26" s="5">
        <v>0</v>
      </c>
      <c r="N26" s="130">
        <v>0</v>
      </c>
      <c r="O26" s="130">
        <v>0</v>
      </c>
      <c r="P26" s="56">
        <v>0</v>
      </c>
      <c r="Q26" s="56">
        <v>0</v>
      </c>
      <c r="R26" s="56">
        <v>0</v>
      </c>
      <c r="S26" s="56">
        <v>0</v>
      </c>
      <c r="T26">
        <v>1</v>
      </c>
    </row>
    <row r="27" spans="1:20" ht="22.05" customHeight="1" x14ac:dyDescent="0.3">
      <c r="C27" s="19">
        <v>24</v>
      </c>
      <c r="D27" s="114">
        <v>43266</v>
      </c>
      <c r="E27" s="18">
        <v>1.8745123537061121</v>
      </c>
      <c r="F27" s="17">
        <v>0</v>
      </c>
      <c r="G27" s="6">
        <v>10</v>
      </c>
      <c r="H27" s="6">
        <v>5</v>
      </c>
      <c r="I27" s="2">
        <v>0</v>
      </c>
      <c r="J27" s="2">
        <v>0</v>
      </c>
      <c r="K27" s="2">
        <v>0</v>
      </c>
      <c r="L27" s="5">
        <v>0</v>
      </c>
      <c r="M27" s="5">
        <v>0</v>
      </c>
      <c r="N27" s="130">
        <v>0</v>
      </c>
      <c r="O27" s="130">
        <v>0</v>
      </c>
      <c r="P27" s="56">
        <v>0</v>
      </c>
      <c r="Q27" s="56">
        <v>0</v>
      </c>
      <c r="R27" s="56">
        <v>0</v>
      </c>
      <c r="S27" s="56">
        <v>0</v>
      </c>
      <c r="T27">
        <v>1</v>
      </c>
    </row>
    <row r="28" spans="1:20" ht="22.05" customHeight="1" x14ac:dyDescent="0.3">
      <c r="C28" s="19"/>
      <c r="D28" s="34"/>
      <c r="E28" s="2"/>
      <c r="F28" s="2"/>
      <c r="G28" s="2"/>
      <c r="H28" s="18"/>
      <c r="I28" s="17"/>
      <c r="J28" s="5"/>
      <c r="K28" s="5"/>
      <c r="L28" s="6"/>
      <c r="M28" s="6"/>
      <c r="N28" s="56"/>
      <c r="O28" s="56"/>
      <c r="P28" s="56"/>
      <c r="Q28" s="56"/>
    </row>
    <row r="29" spans="1:20" ht="22.05" customHeight="1" x14ac:dyDescent="0.3">
      <c r="C29" s="19"/>
      <c r="D29" s="34"/>
      <c r="E29" s="2"/>
      <c r="F29" s="2"/>
      <c r="G29" s="2"/>
      <c r="H29" s="18"/>
      <c r="I29" s="17"/>
      <c r="J29" s="5"/>
      <c r="K29" s="5"/>
      <c r="L29" s="6"/>
      <c r="M29" s="6"/>
      <c r="N29" s="56"/>
      <c r="O29" s="56"/>
      <c r="P29" s="56"/>
      <c r="Q29" s="56"/>
    </row>
    <row r="30" spans="1:20" ht="22.05" customHeight="1" x14ac:dyDescent="0.3">
      <c r="C30" s="19"/>
      <c r="D30" s="34"/>
      <c r="E30" s="2"/>
      <c r="F30" s="2"/>
      <c r="G30" s="2"/>
      <c r="H30" s="18"/>
      <c r="I30" s="17"/>
      <c r="J30" s="5"/>
      <c r="K30" s="5"/>
      <c r="L30" s="6"/>
      <c r="M30" s="6"/>
      <c r="N30" s="56"/>
      <c r="O30" s="56"/>
      <c r="P30" s="56"/>
      <c r="Q30" s="56"/>
    </row>
    <row r="31" spans="1:20" ht="22.05" customHeight="1" x14ac:dyDescent="0.3">
      <c r="C31" s="19"/>
      <c r="D31" s="34"/>
      <c r="E31" s="2"/>
      <c r="F31" s="2"/>
      <c r="G31" s="2"/>
      <c r="H31" s="18"/>
      <c r="I31" s="17"/>
      <c r="J31" s="5"/>
      <c r="K31" s="5"/>
      <c r="L31" s="6"/>
      <c r="M31" s="6"/>
      <c r="N31" s="56"/>
      <c r="O31" s="56"/>
      <c r="P31" s="56"/>
      <c r="Q31" s="56"/>
    </row>
    <row r="32" spans="1:20"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E77DA-272B-47A3-A5A2-E786470D7D0D}">
  <sheetPr codeName="Tabelle6"/>
  <dimension ref="A1:U100"/>
  <sheetViews>
    <sheetView zoomScale="55" zoomScaleNormal="55" workbookViewId="0">
      <selection activeCell="C3" sqref="C3:S27"/>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19" width="13.77734375" style="1" customWidth="1"/>
    <col min="22" max="16384" width="11.5546875" style="1"/>
  </cols>
  <sheetData>
    <row r="1" spans="1:21" ht="41.4" customHeight="1" thickBot="1" x14ac:dyDescent="0.35">
      <c r="A1" s="158" t="s">
        <v>66</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row>
    <row r="4" spans="1:21" ht="22.05" customHeight="1" x14ac:dyDescent="0.45">
      <c r="A4" s="16" t="s">
        <v>3</v>
      </c>
      <c r="B4" s="35">
        <v>0.1</v>
      </c>
      <c r="C4" s="49">
        <v>1</v>
      </c>
      <c r="D4" s="114">
        <v>43265.041666666664</v>
      </c>
      <c r="E4" s="51">
        <v>0.59361165829997231</v>
      </c>
      <c r="F4" s="17">
        <v>0</v>
      </c>
      <c r="G4" s="54">
        <v>10</v>
      </c>
      <c r="H4" s="54">
        <v>5</v>
      </c>
      <c r="I4" s="36">
        <v>0</v>
      </c>
      <c r="J4" s="36">
        <v>0</v>
      </c>
      <c r="K4" s="36">
        <v>0</v>
      </c>
      <c r="L4" s="53">
        <v>0</v>
      </c>
      <c r="M4" s="53">
        <v>0</v>
      </c>
      <c r="N4" s="130">
        <v>0</v>
      </c>
      <c r="O4" s="130">
        <v>0</v>
      </c>
      <c r="P4" s="56">
        <v>0</v>
      </c>
      <c r="Q4" s="56">
        <v>0</v>
      </c>
      <c r="R4" s="56">
        <v>0</v>
      </c>
      <c r="S4" s="56">
        <v>0</v>
      </c>
    </row>
    <row r="5" spans="1:21" ht="22.05" customHeight="1" x14ac:dyDescent="0.45">
      <c r="A5" s="16" t="s">
        <v>4</v>
      </c>
      <c r="B5" s="35">
        <v>5</v>
      </c>
      <c r="C5" s="19">
        <v>2</v>
      </c>
      <c r="D5" s="114">
        <v>43265.083333333336</v>
      </c>
      <c r="E5" s="18">
        <v>0.24994175086314627</v>
      </c>
      <c r="F5" s="17">
        <v>0</v>
      </c>
      <c r="G5" s="6">
        <v>10</v>
      </c>
      <c r="H5" s="6">
        <v>5</v>
      </c>
      <c r="I5" s="2">
        <v>0</v>
      </c>
      <c r="J5" s="2">
        <v>0</v>
      </c>
      <c r="K5" s="2">
        <v>0</v>
      </c>
      <c r="L5" s="5">
        <v>0</v>
      </c>
      <c r="M5" s="5">
        <v>0</v>
      </c>
      <c r="N5" s="130">
        <v>0</v>
      </c>
      <c r="O5" s="130">
        <v>0</v>
      </c>
      <c r="P5" s="56">
        <v>0</v>
      </c>
      <c r="Q5" s="56">
        <v>0</v>
      </c>
      <c r="R5" s="56">
        <v>0</v>
      </c>
      <c r="S5" s="56">
        <v>0</v>
      </c>
    </row>
    <row r="6" spans="1:21" ht="22.05" customHeight="1" x14ac:dyDescent="0.45">
      <c r="A6" s="16" t="s">
        <v>5</v>
      </c>
      <c r="B6" s="35">
        <v>0.5</v>
      </c>
      <c r="C6" s="19">
        <v>3</v>
      </c>
      <c r="D6" s="114">
        <v>43265.125</v>
      </c>
      <c r="E6" s="18">
        <v>0.34366990743682607</v>
      </c>
      <c r="F6" s="17">
        <v>0</v>
      </c>
      <c r="G6" s="6">
        <v>10</v>
      </c>
      <c r="H6" s="6">
        <v>5</v>
      </c>
      <c r="I6" s="2">
        <v>0</v>
      </c>
      <c r="J6" s="2">
        <v>0</v>
      </c>
      <c r="K6" s="2">
        <v>0</v>
      </c>
      <c r="L6" s="5">
        <v>0</v>
      </c>
      <c r="M6" s="5">
        <v>0</v>
      </c>
      <c r="N6" s="130">
        <v>0</v>
      </c>
      <c r="O6" s="130">
        <v>0</v>
      </c>
      <c r="P6" s="56">
        <v>0</v>
      </c>
      <c r="Q6" s="56">
        <v>0</v>
      </c>
      <c r="R6" s="56">
        <v>0</v>
      </c>
      <c r="S6" s="56">
        <v>0</v>
      </c>
    </row>
    <row r="7" spans="1:21" ht="22.05" customHeight="1" x14ac:dyDescent="0.45">
      <c r="A7" s="16" t="s">
        <v>6</v>
      </c>
      <c r="B7" s="35">
        <v>20</v>
      </c>
      <c r="C7" s="19">
        <v>4</v>
      </c>
      <c r="D7" s="114">
        <v>43265.166666666664</v>
      </c>
      <c r="E7" s="18">
        <v>0.43739806401050596</v>
      </c>
      <c r="F7" s="17">
        <v>0</v>
      </c>
      <c r="G7" s="6">
        <v>10</v>
      </c>
      <c r="H7" s="6">
        <v>5</v>
      </c>
      <c r="I7" s="2">
        <v>0</v>
      </c>
      <c r="J7" s="2">
        <v>0</v>
      </c>
      <c r="K7" s="2">
        <v>0</v>
      </c>
      <c r="L7" s="5">
        <v>0</v>
      </c>
      <c r="M7" s="5">
        <v>0</v>
      </c>
      <c r="N7" s="130">
        <v>0</v>
      </c>
      <c r="O7" s="130">
        <v>0</v>
      </c>
      <c r="P7" s="56">
        <v>0</v>
      </c>
      <c r="Q7" s="56">
        <v>0</v>
      </c>
      <c r="R7" s="56">
        <v>0</v>
      </c>
      <c r="S7" s="56">
        <v>0</v>
      </c>
    </row>
    <row r="8" spans="1:21" ht="22.05" customHeight="1" x14ac:dyDescent="0.45">
      <c r="A8" s="16" t="s">
        <v>7</v>
      </c>
      <c r="B8" s="35">
        <v>1</v>
      </c>
      <c r="C8" s="19">
        <v>5</v>
      </c>
      <c r="D8" s="114">
        <v>43265.208333333336</v>
      </c>
      <c r="E8" s="18">
        <v>0.46864078286839927</v>
      </c>
      <c r="F8" s="17">
        <v>0</v>
      </c>
      <c r="G8" s="6">
        <v>10</v>
      </c>
      <c r="H8" s="6">
        <v>5</v>
      </c>
      <c r="I8" s="2">
        <v>0</v>
      </c>
      <c r="J8" s="2">
        <v>0</v>
      </c>
      <c r="K8" s="2">
        <v>0</v>
      </c>
      <c r="L8" s="5">
        <v>0</v>
      </c>
      <c r="M8" s="5">
        <v>0</v>
      </c>
      <c r="N8" s="130">
        <v>0</v>
      </c>
      <c r="O8" s="130">
        <v>0</v>
      </c>
      <c r="P8" s="56">
        <v>0</v>
      </c>
      <c r="Q8" s="56">
        <v>0</v>
      </c>
      <c r="R8" s="56">
        <v>0</v>
      </c>
      <c r="S8" s="56">
        <v>0</v>
      </c>
    </row>
    <row r="9" spans="1:21" ht="22.05" customHeight="1" x14ac:dyDescent="0.45">
      <c r="A9" s="16" t="s">
        <v>8</v>
      </c>
      <c r="B9" s="35">
        <v>20</v>
      </c>
      <c r="C9" s="19">
        <v>6</v>
      </c>
      <c r="D9" s="114">
        <v>43265.25</v>
      </c>
      <c r="E9" s="18">
        <v>1.0310097223104784</v>
      </c>
      <c r="F9" s="17">
        <v>0</v>
      </c>
      <c r="G9" s="6">
        <v>10</v>
      </c>
      <c r="H9" s="6">
        <v>5</v>
      </c>
      <c r="I9" s="2">
        <v>0</v>
      </c>
      <c r="J9" s="2">
        <v>0</v>
      </c>
      <c r="K9" s="2">
        <v>0</v>
      </c>
      <c r="L9" s="5">
        <v>0</v>
      </c>
      <c r="M9" s="5">
        <v>0</v>
      </c>
      <c r="N9" s="130">
        <v>0</v>
      </c>
      <c r="O9" s="130">
        <v>0</v>
      </c>
      <c r="P9" s="56">
        <v>0</v>
      </c>
      <c r="Q9" s="56">
        <v>0</v>
      </c>
      <c r="R9" s="56">
        <v>0</v>
      </c>
      <c r="S9" s="56">
        <v>0</v>
      </c>
    </row>
    <row r="10" spans="1:21" ht="22.05" customHeight="1" x14ac:dyDescent="0.45">
      <c r="A10" s="16" t="s">
        <v>31</v>
      </c>
      <c r="B10" s="35">
        <v>20</v>
      </c>
      <c r="C10" s="19">
        <v>7</v>
      </c>
      <c r="D10" s="114">
        <v>43265.291666666664</v>
      </c>
      <c r="E10" s="18">
        <v>2.749359259494609</v>
      </c>
      <c r="F10" s="17">
        <v>0.21633085896076357</v>
      </c>
      <c r="G10" s="6">
        <v>10</v>
      </c>
      <c r="H10" s="6">
        <v>5</v>
      </c>
      <c r="I10" s="2">
        <v>0</v>
      </c>
      <c r="J10" s="2">
        <v>0</v>
      </c>
      <c r="K10" s="2">
        <v>0</v>
      </c>
      <c r="L10" s="5">
        <v>0</v>
      </c>
      <c r="M10" s="5">
        <v>0</v>
      </c>
      <c r="N10" s="130">
        <v>0</v>
      </c>
      <c r="O10" s="130">
        <v>0</v>
      </c>
      <c r="P10" s="56">
        <v>0</v>
      </c>
      <c r="Q10" s="56">
        <v>0</v>
      </c>
      <c r="R10" s="56">
        <v>0</v>
      </c>
      <c r="S10" s="56">
        <v>0</v>
      </c>
    </row>
    <row r="11" spans="1:21" ht="22.05" customHeight="1" x14ac:dyDescent="0.45">
      <c r="A11" s="16" t="s">
        <v>9</v>
      </c>
      <c r="B11" s="35">
        <v>10</v>
      </c>
      <c r="C11" s="19">
        <v>8</v>
      </c>
      <c r="D11" s="114">
        <v>43265.333333333336</v>
      </c>
      <c r="E11" s="18">
        <v>3.3429709177945814</v>
      </c>
      <c r="F11" s="17">
        <v>1.3340402969247083</v>
      </c>
      <c r="G11" s="6">
        <v>10</v>
      </c>
      <c r="H11" s="6">
        <v>5</v>
      </c>
      <c r="I11" s="2">
        <v>0</v>
      </c>
      <c r="J11" s="2">
        <v>0</v>
      </c>
      <c r="K11" s="2">
        <v>0</v>
      </c>
      <c r="L11" s="5">
        <v>0</v>
      </c>
      <c r="M11" s="5">
        <v>0</v>
      </c>
      <c r="N11" s="130">
        <v>0</v>
      </c>
      <c r="O11" s="130">
        <v>0</v>
      </c>
      <c r="P11" s="56">
        <v>0</v>
      </c>
      <c r="Q11" s="56">
        <v>0</v>
      </c>
      <c r="R11" s="56">
        <v>0</v>
      </c>
      <c r="S11" s="56">
        <v>0</v>
      </c>
    </row>
    <row r="12" spans="1:21" ht="22.05" customHeight="1" x14ac:dyDescent="0.45">
      <c r="A12" s="16" t="s">
        <v>15</v>
      </c>
      <c r="B12" s="35">
        <v>10</v>
      </c>
      <c r="C12" s="19">
        <v>9</v>
      </c>
      <c r="D12" s="114">
        <v>43265.375</v>
      </c>
      <c r="E12" s="18">
        <v>3.0305437292156485</v>
      </c>
      <c r="F12" s="17">
        <v>2.3075291622481444</v>
      </c>
      <c r="G12" s="6">
        <v>10</v>
      </c>
      <c r="H12" s="6">
        <v>5</v>
      </c>
      <c r="I12" s="2">
        <v>0</v>
      </c>
      <c r="J12" s="2">
        <v>0</v>
      </c>
      <c r="K12" s="2">
        <v>0</v>
      </c>
      <c r="L12" s="5">
        <v>0</v>
      </c>
      <c r="M12" s="5">
        <v>0</v>
      </c>
      <c r="N12" s="130">
        <v>0</v>
      </c>
      <c r="O12" s="130">
        <v>0</v>
      </c>
      <c r="P12" s="56">
        <v>0</v>
      </c>
      <c r="Q12" s="56">
        <v>0</v>
      </c>
      <c r="R12" s="56">
        <v>0</v>
      </c>
      <c r="S12" s="56">
        <v>0</v>
      </c>
    </row>
    <row r="13" spans="1:21" ht="22.05" customHeight="1" x14ac:dyDescent="0.45">
      <c r="A13" s="16" t="s">
        <v>32</v>
      </c>
      <c r="B13" s="35">
        <v>24</v>
      </c>
      <c r="C13" s="19">
        <v>10</v>
      </c>
      <c r="D13" s="114">
        <v>43265.416666666664</v>
      </c>
      <c r="E13" s="18">
        <v>2.6243883840630362</v>
      </c>
      <c r="F13" s="17">
        <v>3.4252386002120896</v>
      </c>
      <c r="G13" s="6">
        <v>10</v>
      </c>
      <c r="H13" s="6">
        <v>5</v>
      </c>
      <c r="I13" s="2">
        <v>0</v>
      </c>
      <c r="J13" s="2">
        <v>0</v>
      </c>
      <c r="K13" s="2">
        <v>0</v>
      </c>
      <c r="L13" s="5">
        <v>0</v>
      </c>
      <c r="M13" s="5">
        <v>0</v>
      </c>
      <c r="N13" s="130">
        <v>0</v>
      </c>
      <c r="O13" s="130">
        <v>0</v>
      </c>
      <c r="P13" s="56">
        <v>0</v>
      </c>
      <c r="Q13" s="56">
        <v>0</v>
      </c>
      <c r="R13" s="56">
        <v>0</v>
      </c>
      <c r="S13" s="56">
        <v>0</v>
      </c>
    </row>
    <row r="14" spans="1:21" ht="22.05" customHeight="1" x14ac:dyDescent="0.45">
      <c r="A14" s="128" t="s">
        <v>10</v>
      </c>
      <c r="B14" s="129"/>
      <c r="C14" s="19">
        <v>11</v>
      </c>
      <c r="D14" s="114">
        <v>43265.458333333336</v>
      </c>
      <c r="E14" s="18">
        <v>2.8118446972103959</v>
      </c>
      <c r="F14" s="17">
        <v>4.0021208907741253</v>
      </c>
      <c r="G14" s="6">
        <v>10</v>
      </c>
      <c r="H14" s="6">
        <v>5</v>
      </c>
      <c r="I14" s="2">
        <v>0</v>
      </c>
      <c r="J14" s="2">
        <v>0</v>
      </c>
      <c r="K14" s="2">
        <v>0</v>
      </c>
      <c r="L14" s="5">
        <v>0</v>
      </c>
      <c r="M14" s="5">
        <v>0</v>
      </c>
      <c r="N14" s="130">
        <v>0</v>
      </c>
      <c r="O14" s="130">
        <v>0</v>
      </c>
      <c r="P14" s="56">
        <v>0</v>
      </c>
      <c r="Q14" s="56">
        <v>0</v>
      </c>
      <c r="R14" s="56">
        <v>0</v>
      </c>
      <c r="S14" s="56">
        <v>0</v>
      </c>
    </row>
    <row r="15" spans="1:21" ht="22.05" customHeight="1" x14ac:dyDescent="0.45">
      <c r="A15" s="164">
        <v>0</v>
      </c>
      <c r="B15" s="165"/>
      <c r="C15" s="19">
        <v>12</v>
      </c>
      <c r="D15" s="114">
        <v>43265.5</v>
      </c>
      <c r="E15" s="18">
        <v>3.2180000423630086</v>
      </c>
      <c r="F15" s="17">
        <v>4.4347826086956532</v>
      </c>
      <c r="G15" s="6">
        <v>10</v>
      </c>
      <c r="H15" s="6">
        <v>5</v>
      </c>
      <c r="I15" s="2">
        <v>0</v>
      </c>
      <c r="J15" s="2">
        <v>0</v>
      </c>
      <c r="K15" s="2">
        <v>0</v>
      </c>
      <c r="L15" s="5">
        <v>0</v>
      </c>
      <c r="M15" s="5">
        <v>0</v>
      </c>
      <c r="N15" s="130">
        <v>0</v>
      </c>
      <c r="O15" s="130">
        <v>0</v>
      </c>
      <c r="P15" s="56">
        <v>0</v>
      </c>
      <c r="Q15" s="56">
        <v>0</v>
      </c>
      <c r="R15" s="56">
        <v>0</v>
      </c>
      <c r="S15" s="56">
        <v>0</v>
      </c>
    </row>
    <row r="16" spans="1:21" ht="22.05" customHeight="1" x14ac:dyDescent="0.45">
      <c r="A16" s="164">
        <v>0</v>
      </c>
      <c r="B16" s="165"/>
      <c r="C16" s="19">
        <v>13</v>
      </c>
      <c r="D16" s="114">
        <v>43265.541666666664</v>
      </c>
      <c r="E16" s="18">
        <v>3.7491262629471942</v>
      </c>
      <c r="F16" s="17">
        <v>3.4973488865323437</v>
      </c>
      <c r="G16" s="6">
        <v>10</v>
      </c>
      <c r="H16" s="6">
        <v>5</v>
      </c>
      <c r="I16" s="2">
        <v>0</v>
      </c>
      <c r="J16" s="2">
        <v>0</v>
      </c>
      <c r="K16" s="2">
        <v>0</v>
      </c>
      <c r="L16" s="5">
        <v>0</v>
      </c>
      <c r="M16" s="5">
        <v>0</v>
      </c>
      <c r="N16" s="130">
        <v>0</v>
      </c>
      <c r="O16" s="130">
        <v>0</v>
      </c>
      <c r="P16" s="56">
        <v>0</v>
      </c>
      <c r="Q16" s="56">
        <v>0</v>
      </c>
      <c r="R16" s="56">
        <v>0</v>
      </c>
      <c r="S16" s="56">
        <v>0</v>
      </c>
    </row>
    <row r="17" spans="1:19" ht="22.05" customHeight="1" x14ac:dyDescent="0.3">
      <c r="A17" s="8"/>
      <c r="B17" s="8"/>
      <c r="C17" s="19">
        <v>14</v>
      </c>
      <c r="D17" s="114">
        <v>43265.583333333336</v>
      </c>
      <c r="E17" s="18">
        <v>3.1867573235051148</v>
      </c>
      <c r="F17" s="17">
        <v>3.1367974549310715</v>
      </c>
      <c r="G17" s="6">
        <v>10</v>
      </c>
      <c r="H17" s="6">
        <v>5</v>
      </c>
      <c r="I17" s="2">
        <v>0</v>
      </c>
      <c r="J17" s="2">
        <v>0</v>
      </c>
      <c r="K17" s="2">
        <v>0</v>
      </c>
      <c r="L17" s="5">
        <v>0</v>
      </c>
      <c r="M17" s="5">
        <v>0</v>
      </c>
      <c r="N17" s="130">
        <v>0</v>
      </c>
      <c r="O17" s="130">
        <v>0</v>
      </c>
      <c r="P17" s="56">
        <v>0</v>
      </c>
      <c r="Q17" s="56">
        <v>0</v>
      </c>
      <c r="R17" s="56">
        <v>0</v>
      </c>
      <c r="S17" s="56">
        <v>0</v>
      </c>
    </row>
    <row r="18" spans="1:19" ht="22.05" customHeight="1" x14ac:dyDescent="0.3">
      <c r="A18" s="8"/>
      <c r="B18" s="8"/>
      <c r="C18" s="19">
        <v>15</v>
      </c>
      <c r="D18" s="114">
        <v>43265.625</v>
      </c>
      <c r="E18" s="18">
        <v>2.9368155726419691</v>
      </c>
      <c r="F18" s="17">
        <v>2.8483563096500535</v>
      </c>
      <c r="G18" s="6">
        <v>10</v>
      </c>
      <c r="H18" s="6">
        <v>5</v>
      </c>
      <c r="I18" s="2">
        <v>0</v>
      </c>
      <c r="J18" s="2">
        <v>0</v>
      </c>
      <c r="K18" s="2">
        <v>0</v>
      </c>
      <c r="L18" s="5">
        <v>0</v>
      </c>
      <c r="M18" s="5">
        <v>0</v>
      </c>
      <c r="N18" s="130">
        <v>0</v>
      </c>
      <c r="O18" s="130">
        <v>0</v>
      </c>
      <c r="P18" s="56">
        <v>0</v>
      </c>
      <c r="Q18" s="56">
        <v>0</v>
      </c>
      <c r="R18" s="56">
        <v>0</v>
      </c>
      <c r="S18" s="56">
        <v>0</v>
      </c>
    </row>
    <row r="19" spans="1:19" ht="22.05" customHeight="1" x14ac:dyDescent="0.45">
      <c r="A19" s="157"/>
      <c r="B19" s="157"/>
      <c r="C19" s="19">
        <v>16</v>
      </c>
      <c r="D19" s="114">
        <v>43265.666666666664</v>
      </c>
      <c r="E19" s="18">
        <v>3.2180000423630082</v>
      </c>
      <c r="F19" s="17">
        <v>2.9565217391304346</v>
      </c>
      <c r="G19" s="6">
        <v>10</v>
      </c>
      <c r="H19" s="6">
        <v>5</v>
      </c>
      <c r="I19" s="2">
        <v>0</v>
      </c>
      <c r="J19" s="2">
        <v>0</v>
      </c>
      <c r="K19" s="2">
        <v>0</v>
      </c>
      <c r="L19" s="5">
        <v>0</v>
      </c>
      <c r="M19" s="5">
        <v>0</v>
      </c>
      <c r="N19" s="130">
        <v>0</v>
      </c>
      <c r="O19" s="130">
        <v>0</v>
      </c>
      <c r="P19" s="56">
        <v>0</v>
      </c>
      <c r="Q19" s="56">
        <v>0</v>
      </c>
      <c r="R19" s="56">
        <v>0</v>
      </c>
      <c r="S19" s="56">
        <v>0</v>
      </c>
    </row>
    <row r="20" spans="1:19" ht="22.05" customHeight="1" x14ac:dyDescent="0.3">
      <c r="A20" s="9"/>
      <c r="B20" s="9"/>
      <c r="C20" s="19">
        <v>17</v>
      </c>
      <c r="D20" s="114">
        <v>43265.708333333336</v>
      </c>
      <c r="E20" s="18">
        <v>2.8118446972103959</v>
      </c>
      <c r="F20" s="17">
        <v>2.3435843054082719</v>
      </c>
      <c r="G20" s="6">
        <v>10</v>
      </c>
      <c r="H20" s="6">
        <v>5</v>
      </c>
      <c r="I20" s="2">
        <v>0</v>
      </c>
      <c r="J20" s="2">
        <v>0</v>
      </c>
      <c r="K20" s="2">
        <v>0</v>
      </c>
      <c r="L20" s="5">
        <v>0</v>
      </c>
      <c r="M20" s="5">
        <v>0</v>
      </c>
      <c r="N20" s="130">
        <v>0</v>
      </c>
      <c r="O20" s="130">
        <v>0</v>
      </c>
      <c r="P20" s="56">
        <v>0</v>
      </c>
      <c r="Q20" s="56">
        <v>0</v>
      </c>
      <c r="R20" s="56">
        <v>0</v>
      </c>
      <c r="S20" s="56">
        <v>0</v>
      </c>
    </row>
    <row r="21" spans="1:19" ht="22.05" customHeight="1" x14ac:dyDescent="0.3">
      <c r="C21" s="19">
        <v>18</v>
      </c>
      <c r="D21" s="114">
        <v>43265.75</v>
      </c>
      <c r="E21" s="18">
        <v>2.4994175086314629</v>
      </c>
      <c r="F21" s="17">
        <v>1.9830328738069991</v>
      </c>
      <c r="G21" s="6">
        <v>10</v>
      </c>
      <c r="H21" s="6">
        <v>5</v>
      </c>
      <c r="I21" s="2">
        <v>0</v>
      </c>
      <c r="J21" s="2">
        <v>0</v>
      </c>
      <c r="K21" s="2">
        <v>0</v>
      </c>
      <c r="L21" s="5">
        <v>0</v>
      </c>
      <c r="M21" s="5">
        <v>0</v>
      </c>
      <c r="N21" s="130">
        <v>0</v>
      </c>
      <c r="O21" s="130">
        <v>0</v>
      </c>
      <c r="P21" s="56">
        <v>0</v>
      </c>
      <c r="Q21" s="56">
        <v>0</v>
      </c>
      <c r="R21" s="56">
        <v>0</v>
      </c>
      <c r="S21" s="56">
        <v>0</v>
      </c>
    </row>
    <row r="22" spans="1:19" ht="22.05" customHeight="1" x14ac:dyDescent="0.3">
      <c r="C22" s="19">
        <v>19</v>
      </c>
      <c r="D22" s="114">
        <v>43265.791666666664</v>
      </c>
      <c r="E22" s="18">
        <v>4.3114952023892732</v>
      </c>
      <c r="F22" s="17">
        <v>1.1537645811240722</v>
      </c>
      <c r="G22" s="6">
        <v>10</v>
      </c>
      <c r="H22" s="6">
        <v>5</v>
      </c>
      <c r="I22" s="2">
        <v>0</v>
      </c>
      <c r="J22" s="2">
        <v>0</v>
      </c>
      <c r="K22" s="2">
        <v>0</v>
      </c>
      <c r="L22" s="5">
        <v>0</v>
      </c>
      <c r="M22" s="5">
        <v>0</v>
      </c>
      <c r="N22" s="130">
        <v>0</v>
      </c>
      <c r="O22" s="130">
        <v>0</v>
      </c>
      <c r="P22" s="56">
        <v>0</v>
      </c>
      <c r="Q22" s="56">
        <v>0</v>
      </c>
      <c r="R22" s="56">
        <v>0</v>
      </c>
      <c r="S22" s="56">
        <v>0</v>
      </c>
    </row>
    <row r="23" spans="1:19" ht="22.05" customHeight="1" x14ac:dyDescent="0.3">
      <c r="C23" s="19">
        <v>20</v>
      </c>
      <c r="D23" s="114">
        <v>43265.833333333336</v>
      </c>
      <c r="E23" s="18">
        <v>3.1867573235051152</v>
      </c>
      <c r="F23" s="17">
        <v>0.36055143160127257</v>
      </c>
      <c r="G23" s="6">
        <v>10</v>
      </c>
      <c r="H23" s="6">
        <v>5</v>
      </c>
      <c r="I23" s="2">
        <v>0</v>
      </c>
      <c r="J23" s="2">
        <v>0</v>
      </c>
      <c r="K23" s="2">
        <v>0</v>
      </c>
      <c r="L23" s="5">
        <v>0</v>
      </c>
      <c r="M23" s="5">
        <v>0</v>
      </c>
      <c r="N23" s="130">
        <v>0</v>
      </c>
      <c r="O23" s="130">
        <v>0</v>
      </c>
      <c r="P23" s="56">
        <v>0</v>
      </c>
      <c r="Q23" s="56">
        <v>0</v>
      </c>
      <c r="R23" s="56">
        <v>0</v>
      </c>
      <c r="S23" s="56">
        <v>0</v>
      </c>
    </row>
    <row r="24" spans="1:19" ht="22.05" customHeight="1" x14ac:dyDescent="0.3">
      <c r="C24" s="19">
        <v>21</v>
      </c>
      <c r="D24" s="114">
        <v>43265.875</v>
      </c>
      <c r="E24" s="18">
        <v>3.5304272309419411</v>
      </c>
      <c r="F24" s="17">
        <v>0</v>
      </c>
      <c r="G24" s="6">
        <v>10</v>
      </c>
      <c r="H24" s="6">
        <v>5</v>
      </c>
      <c r="I24" s="2">
        <v>0</v>
      </c>
      <c r="J24" s="2">
        <v>0</v>
      </c>
      <c r="K24" s="2">
        <v>0</v>
      </c>
      <c r="L24" s="5">
        <v>0</v>
      </c>
      <c r="M24" s="5">
        <v>0</v>
      </c>
      <c r="N24" s="130">
        <v>0</v>
      </c>
      <c r="O24" s="130">
        <v>0</v>
      </c>
      <c r="P24" s="56">
        <v>0</v>
      </c>
      <c r="Q24" s="56">
        <v>0</v>
      </c>
      <c r="R24" s="56">
        <v>0</v>
      </c>
      <c r="S24" s="56">
        <v>0</v>
      </c>
    </row>
    <row r="25" spans="1:19" ht="22.05" customHeight="1" x14ac:dyDescent="0.3">
      <c r="C25" s="19">
        <v>22</v>
      </c>
      <c r="D25" s="114">
        <v>43265.916666666664</v>
      </c>
      <c r="E25" s="18">
        <v>4.2315138421130669</v>
      </c>
      <c r="F25" s="17">
        <v>0</v>
      </c>
      <c r="G25" s="6">
        <v>10</v>
      </c>
      <c r="H25" s="6">
        <v>5</v>
      </c>
      <c r="I25" s="2">
        <v>0</v>
      </c>
      <c r="J25" s="2">
        <v>0</v>
      </c>
      <c r="K25" s="2">
        <v>0</v>
      </c>
      <c r="L25" s="5">
        <v>0</v>
      </c>
      <c r="M25" s="5">
        <v>0</v>
      </c>
      <c r="N25" s="130">
        <v>0</v>
      </c>
      <c r="O25" s="130">
        <v>0</v>
      </c>
      <c r="P25" s="56">
        <v>0</v>
      </c>
      <c r="Q25" s="56">
        <v>0</v>
      </c>
      <c r="R25" s="56">
        <v>0</v>
      </c>
      <c r="S25" s="56">
        <v>0</v>
      </c>
    </row>
    <row r="26" spans="1:19" ht="22.05" customHeight="1" x14ac:dyDescent="0.3">
      <c r="C26" s="19">
        <v>23</v>
      </c>
      <c r="D26" s="114">
        <v>43265.958333333336</v>
      </c>
      <c r="E26" s="18">
        <v>2.9680582914998621</v>
      </c>
      <c r="F26" s="17">
        <v>0</v>
      </c>
      <c r="G26" s="6">
        <v>10</v>
      </c>
      <c r="H26" s="6">
        <v>5</v>
      </c>
      <c r="I26" s="2">
        <v>0</v>
      </c>
      <c r="J26" s="2">
        <v>0</v>
      </c>
      <c r="K26" s="2">
        <v>0</v>
      </c>
      <c r="L26" s="5">
        <v>0</v>
      </c>
      <c r="M26" s="5">
        <v>0</v>
      </c>
      <c r="N26" s="130">
        <v>0</v>
      </c>
      <c r="O26" s="130">
        <v>0</v>
      </c>
      <c r="P26" s="56">
        <v>0</v>
      </c>
      <c r="Q26" s="56">
        <v>0</v>
      </c>
      <c r="R26" s="56">
        <v>0</v>
      </c>
      <c r="S26" s="56">
        <v>0</v>
      </c>
    </row>
    <row r="27" spans="1:19" ht="22.05" customHeight="1" x14ac:dyDescent="0.3">
      <c r="C27" s="19">
        <v>24</v>
      </c>
      <c r="D27" s="114">
        <v>43266</v>
      </c>
      <c r="E27" s="18">
        <v>1.4684077863209839</v>
      </c>
      <c r="F27" s="17">
        <v>0</v>
      </c>
      <c r="G27" s="6">
        <v>10</v>
      </c>
      <c r="H27" s="6">
        <v>5</v>
      </c>
      <c r="I27" s="2">
        <v>0</v>
      </c>
      <c r="J27" s="2">
        <v>0</v>
      </c>
      <c r="K27" s="2">
        <v>0</v>
      </c>
      <c r="L27" s="5">
        <v>0</v>
      </c>
      <c r="M27" s="5">
        <v>0</v>
      </c>
      <c r="N27" s="130">
        <v>0</v>
      </c>
      <c r="O27" s="130">
        <v>0</v>
      </c>
      <c r="P27" s="56">
        <v>0</v>
      </c>
      <c r="Q27" s="56">
        <v>0</v>
      </c>
      <c r="R27" s="56">
        <v>0</v>
      </c>
      <c r="S27" s="56">
        <v>0</v>
      </c>
    </row>
    <row r="28" spans="1:19" ht="22.05" customHeight="1" x14ac:dyDescent="0.3">
      <c r="C28" s="19"/>
      <c r="D28" s="34"/>
      <c r="E28" s="2"/>
      <c r="F28" s="2"/>
      <c r="G28" s="2"/>
      <c r="H28" s="18"/>
      <c r="I28" s="17"/>
      <c r="J28" s="5"/>
      <c r="K28" s="5"/>
      <c r="L28" s="6"/>
      <c r="M28" s="6"/>
      <c r="N28" s="56"/>
      <c r="O28" s="56"/>
      <c r="P28" s="56"/>
      <c r="Q28" s="56"/>
    </row>
    <row r="29" spans="1:19" ht="22.05" customHeight="1" x14ac:dyDescent="0.3">
      <c r="C29" s="19"/>
      <c r="D29" s="34"/>
      <c r="E29" s="2"/>
      <c r="F29" s="2"/>
      <c r="G29" s="2"/>
      <c r="H29" s="18"/>
      <c r="I29" s="17"/>
      <c r="J29" s="5"/>
      <c r="K29" s="5"/>
      <c r="L29" s="6"/>
      <c r="M29" s="6"/>
      <c r="N29" s="56"/>
      <c r="O29" s="56"/>
      <c r="P29" s="56"/>
      <c r="Q29" s="56"/>
    </row>
    <row r="30" spans="1:19" ht="22.05" customHeight="1" x14ac:dyDescent="0.3">
      <c r="C30" s="19"/>
      <c r="D30" s="34"/>
      <c r="E30" s="2"/>
      <c r="F30" s="2"/>
      <c r="G30" s="2"/>
      <c r="H30" s="18"/>
      <c r="I30" s="17"/>
      <c r="J30" s="5"/>
      <c r="K30" s="5"/>
      <c r="L30" s="6"/>
      <c r="M30" s="6"/>
      <c r="N30" s="56"/>
      <c r="O30" s="56"/>
      <c r="P30" s="56"/>
      <c r="Q30" s="56"/>
    </row>
    <row r="31" spans="1:19" ht="22.05" customHeight="1" x14ac:dyDescent="0.3">
      <c r="C31" s="19"/>
      <c r="D31" s="34"/>
      <c r="E31" s="2"/>
      <c r="F31" s="2"/>
      <c r="G31" s="2"/>
      <c r="H31" s="18"/>
      <c r="I31" s="17"/>
      <c r="J31" s="5"/>
      <c r="K31" s="5"/>
      <c r="L31" s="6"/>
      <c r="M31" s="6"/>
      <c r="N31" s="56"/>
      <c r="O31" s="56"/>
      <c r="P31" s="56"/>
      <c r="Q31" s="56"/>
    </row>
    <row r="32" spans="1:19"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CD0C3-05F4-43E9-8F3A-117666348922}">
  <sheetPr codeName="Tabelle7"/>
  <dimension ref="A1:U100"/>
  <sheetViews>
    <sheetView zoomScale="55" zoomScaleNormal="55" workbookViewId="0">
      <selection activeCell="F3" sqref="F3"/>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19" width="13.77734375" style="1" customWidth="1"/>
    <col min="22" max="16384" width="11.5546875" style="1"/>
  </cols>
  <sheetData>
    <row r="1" spans="1:21" ht="41.4" customHeight="1" thickBot="1" x14ac:dyDescent="0.35">
      <c r="A1" s="158" t="s">
        <v>68</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row>
    <row r="4" spans="1:21" ht="22.05" customHeight="1" x14ac:dyDescent="0.45">
      <c r="A4" s="16" t="s">
        <v>3</v>
      </c>
      <c r="B4" s="35">
        <v>0.1</v>
      </c>
      <c r="C4" s="49">
        <v>1</v>
      </c>
      <c r="D4" s="114">
        <v>43265.041666666664</v>
      </c>
      <c r="E4" s="51">
        <v>2.3381521055939656</v>
      </c>
      <c r="F4" s="17">
        <v>0</v>
      </c>
      <c r="G4" s="54">
        <v>10</v>
      </c>
      <c r="H4" s="54">
        <v>5</v>
      </c>
      <c r="I4" s="36">
        <v>0</v>
      </c>
      <c r="J4" s="36">
        <v>0</v>
      </c>
      <c r="K4" s="36">
        <v>0</v>
      </c>
      <c r="L4" s="53">
        <v>0</v>
      </c>
      <c r="M4" s="53">
        <v>0</v>
      </c>
      <c r="N4" s="130">
        <v>0</v>
      </c>
      <c r="O4" s="130">
        <v>0</v>
      </c>
      <c r="P4" s="56">
        <v>0</v>
      </c>
      <c r="Q4" s="56">
        <v>0</v>
      </c>
      <c r="R4" s="56">
        <v>0</v>
      </c>
      <c r="S4" s="56">
        <v>0</v>
      </c>
    </row>
    <row r="5" spans="1:21" ht="22.05" customHeight="1" x14ac:dyDescent="0.45">
      <c r="A5" s="16" t="s">
        <v>4</v>
      </c>
      <c r="B5" s="35">
        <v>5</v>
      </c>
      <c r="C5" s="19">
        <v>2</v>
      </c>
      <c r="D5" s="114">
        <v>43265.083333333336</v>
      </c>
      <c r="E5" s="18">
        <v>1.5084852294154618</v>
      </c>
      <c r="F5" s="17">
        <v>0</v>
      </c>
      <c r="G5" s="6">
        <v>10</v>
      </c>
      <c r="H5" s="6">
        <v>5</v>
      </c>
      <c r="I5" s="2">
        <v>0</v>
      </c>
      <c r="J5" s="2">
        <v>0</v>
      </c>
      <c r="K5" s="2">
        <v>0</v>
      </c>
      <c r="L5" s="5">
        <v>0</v>
      </c>
      <c r="M5" s="5">
        <v>0</v>
      </c>
      <c r="N5" s="130">
        <v>0</v>
      </c>
      <c r="O5" s="130">
        <v>0</v>
      </c>
      <c r="P5" s="56">
        <v>0</v>
      </c>
      <c r="Q5" s="56">
        <v>0</v>
      </c>
      <c r="R5" s="56">
        <v>0</v>
      </c>
      <c r="S5" s="56">
        <v>0</v>
      </c>
    </row>
    <row r="6" spans="1:21" ht="22.05" customHeight="1" x14ac:dyDescent="0.45">
      <c r="A6" s="16" t="s">
        <v>5</v>
      </c>
      <c r="B6" s="35">
        <v>0.5</v>
      </c>
      <c r="C6" s="19">
        <v>3</v>
      </c>
      <c r="D6" s="114">
        <v>43265.125</v>
      </c>
      <c r="E6" s="18">
        <v>0.67881835323695783</v>
      </c>
      <c r="F6" s="17">
        <v>0</v>
      </c>
      <c r="G6" s="6">
        <v>10</v>
      </c>
      <c r="H6" s="6">
        <v>5</v>
      </c>
      <c r="I6" s="2">
        <v>0</v>
      </c>
      <c r="J6" s="2">
        <v>0</v>
      </c>
      <c r="K6" s="2">
        <v>0</v>
      </c>
      <c r="L6" s="5">
        <v>0</v>
      </c>
      <c r="M6" s="5">
        <v>0</v>
      </c>
      <c r="N6" s="130">
        <v>0</v>
      </c>
      <c r="O6" s="130">
        <v>0</v>
      </c>
      <c r="P6" s="56">
        <v>0</v>
      </c>
      <c r="Q6" s="56">
        <v>0</v>
      </c>
      <c r="R6" s="56">
        <v>0</v>
      </c>
      <c r="S6" s="56">
        <v>0</v>
      </c>
    </row>
    <row r="7" spans="1:21" ht="22.05" customHeight="1" x14ac:dyDescent="0.45">
      <c r="A7" s="16" t="s">
        <v>6</v>
      </c>
      <c r="B7" s="35">
        <v>20</v>
      </c>
      <c r="C7" s="19">
        <v>4</v>
      </c>
      <c r="D7" s="114">
        <v>43265.166666666664</v>
      </c>
      <c r="E7" s="18">
        <v>0.98051539912005015</v>
      </c>
      <c r="F7" s="17">
        <v>0</v>
      </c>
      <c r="G7" s="6">
        <v>10</v>
      </c>
      <c r="H7" s="6">
        <v>5</v>
      </c>
      <c r="I7" s="2">
        <v>0</v>
      </c>
      <c r="J7" s="2">
        <v>0</v>
      </c>
      <c r="K7" s="2">
        <v>0</v>
      </c>
      <c r="L7" s="5">
        <v>0</v>
      </c>
      <c r="M7" s="5">
        <v>0</v>
      </c>
      <c r="N7" s="130">
        <v>0</v>
      </c>
      <c r="O7" s="130">
        <v>0</v>
      </c>
      <c r="P7" s="56">
        <v>0</v>
      </c>
      <c r="Q7" s="56">
        <v>0</v>
      </c>
      <c r="R7" s="56">
        <v>0</v>
      </c>
      <c r="S7" s="56">
        <v>0</v>
      </c>
    </row>
    <row r="8" spans="1:21" ht="22.05" customHeight="1" x14ac:dyDescent="0.45">
      <c r="A8" s="16" t="s">
        <v>7</v>
      </c>
      <c r="B8" s="35">
        <v>1</v>
      </c>
      <c r="C8" s="19">
        <v>5</v>
      </c>
      <c r="D8" s="114">
        <v>43265.208333333336</v>
      </c>
      <c r="E8" s="18">
        <v>1.0559396605908231</v>
      </c>
      <c r="F8" s="17">
        <v>0</v>
      </c>
      <c r="G8" s="6">
        <v>10</v>
      </c>
      <c r="H8" s="6">
        <v>5</v>
      </c>
      <c r="I8" s="2">
        <v>0</v>
      </c>
      <c r="J8" s="2">
        <v>0</v>
      </c>
      <c r="K8" s="2">
        <v>0</v>
      </c>
      <c r="L8" s="5">
        <v>0</v>
      </c>
      <c r="M8" s="5">
        <v>0</v>
      </c>
      <c r="N8" s="130">
        <v>0</v>
      </c>
      <c r="O8" s="130">
        <v>0</v>
      </c>
      <c r="P8" s="56">
        <v>0</v>
      </c>
      <c r="Q8" s="56">
        <v>0</v>
      </c>
      <c r="R8" s="56">
        <v>0</v>
      </c>
      <c r="S8" s="56">
        <v>0</v>
      </c>
    </row>
    <row r="9" spans="1:21" ht="22.05" customHeight="1" x14ac:dyDescent="0.45">
      <c r="A9" s="16" t="s">
        <v>8</v>
      </c>
      <c r="B9" s="35">
        <v>20</v>
      </c>
      <c r="C9" s="19">
        <v>6</v>
      </c>
      <c r="D9" s="114">
        <v>43265.25</v>
      </c>
      <c r="E9" s="18">
        <v>3.0169704588309232</v>
      </c>
      <c r="F9" s="17">
        <v>0</v>
      </c>
      <c r="G9" s="6">
        <v>10</v>
      </c>
      <c r="H9" s="6">
        <v>5</v>
      </c>
      <c r="I9" s="2">
        <v>0</v>
      </c>
      <c r="J9" s="2">
        <v>0</v>
      </c>
      <c r="K9" s="2">
        <v>0</v>
      </c>
      <c r="L9" s="5">
        <v>0</v>
      </c>
      <c r="M9" s="5">
        <v>0</v>
      </c>
      <c r="N9" s="130">
        <v>0</v>
      </c>
      <c r="O9" s="130">
        <v>0</v>
      </c>
      <c r="P9" s="56">
        <v>0</v>
      </c>
      <c r="Q9" s="56">
        <v>0</v>
      </c>
      <c r="R9" s="56">
        <v>0</v>
      </c>
      <c r="S9" s="56">
        <v>0</v>
      </c>
    </row>
    <row r="10" spans="1:21" ht="22.05" customHeight="1" x14ac:dyDescent="0.45">
      <c r="A10" s="16" t="s">
        <v>31</v>
      </c>
      <c r="B10" s="35">
        <v>20</v>
      </c>
      <c r="C10" s="19">
        <v>7</v>
      </c>
      <c r="D10" s="114">
        <v>43265.291666666664</v>
      </c>
      <c r="E10" s="18">
        <v>6.2602137020741662</v>
      </c>
      <c r="F10" s="17">
        <v>0</v>
      </c>
      <c r="G10" s="6">
        <v>10</v>
      </c>
      <c r="H10" s="6">
        <v>5</v>
      </c>
      <c r="I10" s="2">
        <v>0</v>
      </c>
      <c r="J10" s="2">
        <v>0</v>
      </c>
      <c r="K10" s="2">
        <v>0</v>
      </c>
      <c r="L10" s="5">
        <v>0</v>
      </c>
      <c r="M10" s="5">
        <v>0</v>
      </c>
      <c r="N10" s="130">
        <v>0</v>
      </c>
      <c r="O10" s="130">
        <v>0</v>
      </c>
      <c r="P10" s="56">
        <v>0</v>
      </c>
      <c r="Q10" s="56">
        <v>0</v>
      </c>
      <c r="R10" s="56">
        <v>0</v>
      </c>
      <c r="S10" s="56">
        <v>0</v>
      </c>
    </row>
    <row r="11" spans="1:21" ht="22.05" customHeight="1" x14ac:dyDescent="0.45">
      <c r="A11" s="16" t="s">
        <v>9</v>
      </c>
      <c r="B11" s="35">
        <v>10</v>
      </c>
      <c r="C11" s="19">
        <v>8</v>
      </c>
      <c r="D11" s="114">
        <v>43265.333333333336</v>
      </c>
      <c r="E11" s="18">
        <v>7.3915776241357625</v>
      </c>
      <c r="F11" s="17">
        <v>1.431472081218274</v>
      </c>
      <c r="G11" s="6">
        <v>10</v>
      </c>
      <c r="H11" s="6">
        <v>5</v>
      </c>
      <c r="I11" s="2">
        <v>0</v>
      </c>
      <c r="J11" s="2">
        <v>0</v>
      </c>
      <c r="K11" s="2">
        <v>0</v>
      </c>
      <c r="L11" s="5">
        <v>0</v>
      </c>
      <c r="M11" s="5">
        <v>0</v>
      </c>
      <c r="N11" s="130">
        <v>0</v>
      </c>
      <c r="O11" s="130">
        <v>0</v>
      </c>
      <c r="P11" s="56">
        <v>0</v>
      </c>
      <c r="Q11" s="56">
        <v>0</v>
      </c>
      <c r="R11" s="56">
        <v>0</v>
      </c>
      <c r="S11" s="56">
        <v>0</v>
      </c>
    </row>
    <row r="12" spans="1:21" ht="22.05" customHeight="1" x14ac:dyDescent="0.45">
      <c r="A12" s="16" t="s">
        <v>15</v>
      </c>
      <c r="B12" s="35">
        <v>10</v>
      </c>
      <c r="C12" s="19">
        <v>9</v>
      </c>
      <c r="D12" s="114">
        <v>43265.375</v>
      </c>
      <c r="E12" s="18">
        <v>7.3161533626649895</v>
      </c>
      <c r="F12" s="17">
        <v>7.873096446700508</v>
      </c>
      <c r="G12" s="6">
        <v>10</v>
      </c>
      <c r="H12" s="6">
        <v>5</v>
      </c>
      <c r="I12" s="2">
        <v>0</v>
      </c>
      <c r="J12" s="2">
        <v>0</v>
      </c>
      <c r="K12" s="2">
        <v>0</v>
      </c>
      <c r="L12" s="5">
        <v>0</v>
      </c>
      <c r="M12" s="5">
        <v>0</v>
      </c>
      <c r="N12" s="130">
        <v>0</v>
      </c>
      <c r="O12" s="130">
        <v>0</v>
      </c>
      <c r="P12" s="56">
        <v>0</v>
      </c>
      <c r="Q12" s="56">
        <v>0</v>
      </c>
      <c r="R12" s="56">
        <v>0</v>
      </c>
      <c r="S12" s="56">
        <v>0</v>
      </c>
    </row>
    <row r="13" spans="1:21" ht="22.05" customHeight="1" x14ac:dyDescent="0.45">
      <c r="A13" s="16" t="s">
        <v>32</v>
      </c>
      <c r="B13" s="35">
        <v>24</v>
      </c>
      <c r="C13" s="19">
        <v>10</v>
      </c>
      <c r="D13" s="114">
        <v>43265.416666666664</v>
      </c>
      <c r="E13" s="18">
        <v>3.8466373350094281</v>
      </c>
      <c r="F13" s="17">
        <v>12.453807106598981</v>
      </c>
      <c r="G13" s="6">
        <v>10</v>
      </c>
      <c r="H13" s="6">
        <v>5</v>
      </c>
      <c r="I13" s="2">
        <v>0</v>
      </c>
      <c r="J13" s="2">
        <v>0</v>
      </c>
      <c r="K13" s="2">
        <v>0</v>
      </c>
      <c r="L13" s="5">
        <v>0</v>
      </c>
      <c r="M13" s="5">
        <v>0</v>
      </c>
      <c r="N13" s="130">
        <v>0</v>
      </c>
      <c r="O13" s="130">
        <v>0</v>
      </c>
      <c r="P13" s="56">
        <v>0</v>
      </c>
      <c r="Q13" s="56">
        <v>0</v>
      </c>
      <c r="R13" s="56">
        <v>0</v>
      </c>
      <c r="S13" s="56">
        <v>0</v>
      </c>
    </row>
    <row r="14" spans="1:21" ht="22.05" customHeight="1" x14ac:dyDescent="0.45">
      <c r="A14" s="128" t="s">
        <v>10</v>
      </c>
      <c r="B14" s="129"/>
      <c r="C14" s="19">
        <v>11</v>
      </c>
      <c r="D14" s="114">
        <v>43265.458333333336</v>
      </c>
      <c r="E14" s="18">
        <v>1.5084852294154618</v>
      </c>
      <c r="F14" s="17">
        <v>14.744162436548221</v>
      </c>
      <c r="G14" s="6">
        <v>10</v>
      </c>
      <c r="H14" s="6">
        <v>5</v>
      </c>
      <c r="I14" s="2">
        <v>0</v>
      </c>
      <c r="J14" s="2">
        <v>0</v>
      </c>
      <c r="K14" s="2">
        <v>0</v>
      </c>
      <c r="L14" s="5">
        <v>0</v>
      </c>
      <c r="M14" s="5">
        <v>0</v>
      </c>
      <c r="N14" s="130">
        <v>0</v>
      </c>
      <c r="O14" s="130">
        <v>0</v>
      </c>
      <c r="P14" s="56">
        <v>0</v>
      </c>
      <c r="Q14" s="56">
        <v>0</v>
      </c>
      <c r="R14" s="56">
        <v>0</v>
      </c>
      <c r="S14" s="56">
        <v>0</v>
      </c>
    </row>
    <row r="15" spans="1:21" ht="22.05" customHeight="1" x14ac:dyDescent="0.45">
      <c r="A15" s="164">
        <v>0</v>
      </c>
      <c r="B15" s="165"/>
      <c r="C15" s="19">
        <v>12</v>
      </c>
      <c r="D15" s="114">
        <v>43265.5</v>
      </c>
      <c r="E15" s="18">
        <v>1.8856065367693273</v>
      </c>
      <c r="F15" s="17">
        <v>16.46192893401015</v>
      </c>
      <c r="G15" s="6">
        <v>10</v>
      </c>
      <c r="H15" s="6">
        <v>5</v>
      </c>
      <c r="I15" s="2">
        <v>0</v>
      </c>
      <c r="J15" s="2">
        <v>0</v>
      </c>
      <c r="K15" s="2">
        <v>0</v>
      </c>
      <c r="L15" s="5">
        <v>0</v>
      </c>
      <c r="M15" s="5">
        <v>0</v>
      </c>
      <c r="N15" s="130">
        <v>0</v>
      </c>
      <c r="O15" s="130">
        <v>0</v>
      </c>
      <c r="P15" s="56">
        <v>0</v>
      </c>
      <c r="Q15" s="56">
        <v>0</v>
      </c>
      <c r="R15" s="56">
        <v>0</v>
      </c>
      <c r="S15" s="56">
        <v>0</v>
      </c>
    </row>
    <row r="16" spans="1:21" ht="22.05" customHeight="1" x14ac:dyDescent="0.45">
      <c r="A16" s="164">
        <v>0</v>
      </c>
      <c r="B16" s="165"/>
      <c r="C16" s="19">
        <v>13</v>
      </c>
      <c r="D16" s="114">
        <v>43265.541666666664</v>
      </c>
      <c r="E16" s="18">
        <v>7.9949717159019489</v>
      </c>
      <c r="F16" s="17">
        <v>17.607106598984775</v>
      </c>
      <c r="G16" s="6">
        <v>10</v>
      </c>
      <c r="H16" s="6">
        <v>5</v>
      </c>
      <c r="I16" s="2">
        <v>0</v>
      </c>
      <c r="J16" s="2">
        <v>0</v>
      </c>
      <c r="K16" s="2">
        <v>0</v>
      </c>
      <c r="L16" s="5">
        <v>0</v>
      </c>
      <c r="M16" s="5">
        <v>0</v>
      </c>
      <c r="N16" s="130">
        <v>0</v>
      </c>
      <c r="O16" s="130">
        <v>0</v>
      </c>
      <c r="P16" s="56">
        <v>0</v>
      </c>
      <c r="Q16" s="56">
        <v>0</v>
      </c>
      <c r="R16" s="56">
        <v>0</v>
      </c>
      <c r="S16" s="56">
        <v>0</v>
      </c>
    </row>
    <row r="17" spans="1:19" ht="22.05" customHeight="1" x14ac:dyDescent="0.3">
      <c r="A17" s="8"/>
      <c r="B17" s="8"/>
      <c r="C17" s="19">
        <v>14</v>
      </c>
      <c r="D17" s="114">
        <v>43265.583333333336</v>
      </c>
      <c r="E17" s="18">
        <v>8.2212445003142669</v>
      </c>
      <c r="F17" s="17">
        <v>16.605076142131981</v>
      </c>
      <c r="G17" s="6">
        <v>10</v>
      </c>
      <c r="H17" s="6">
        <v>5</v>
      </c>
      <c r="I17" s="2">
        <v>0</v>
      </c>
      <c r="J17" s="2">
        <v>0</v>
      </c>
      <c r="K17" s="2">
        <v>0</v>
      </c>
      <c r="L17" s="5">
        <v>0</v>
      </c>
      <c r="M17" s="5">
        <v>0</v>
      </c>
      <c r="N17" s="130">
        <v>0</v>
      </c>
      <c r="O17" s="130">
        <v>0</v>
      </c>
      <c r="P17" s="56">
        <v>0</v>
      </c>
      <c r="Q17" s="56">
        <v>0</v>
      </c>
      <c r="R17" s="56">
        <v>0</v>
      </c>
      <c r="S17" s="56">
        <v>0</v>
      </c>
    </row>
    <row r="18" spans="1:19" ht="22.05" customHeight="1" x14ac:dyDescent="0.3">
      <c r="A18" s="8"/>
      <c r="B18" s="8"/>
      <c r="C18" s="19">
        <v>15</v>
      </c>
      <c r="D18" s="114">
        <v>43265.625</v>
      </c>
      <c r="E18" s="18">
        <v>5.2796983029541167</v>
      </c>
      <c r="F18" s="17">
        <v>15.45989847715736</v>
      </c>
      <c r="G18" s="6">
        <v>10</v>
      </c>
      <c r="H18" s="6">
        <v>5</v>
      </c>
      <c r="I18" s="2">
        <v>0</v>
      </c>
      <c r="J18" s="2">
        <v>0</v>
      </c>
      <c r="K18" s="2">
        <v>0</v>
      </c>
      <c r="L18" s="5">
        <v>0</v>
      </c>
      <c r="M18" s="5">
        <v>0</v>
      </c>
      <c r="N18" s="130">
        <v>0</v>
      </c>
      <c r="O18" s="130">
        <v>0</v>
      </c>
      <c r="P18" s="56">
        <v>0</v>
      </c>
      <c r="Q18" s="56">
        <v>0</v>
      </c>
      <c r="R18" s="56">
        <v>0</v>
      </c>
      <c r="S18" s="56">
        <v>0</v>
      </c>
    </row>
    <row r="19" spans="1:19" ht="22.05" customHeight="1" x14ac:dyDescent="0.45">
      <c r="A19" s="157"/>
      <c r="B19" s="157"/>
      <c r="C19" s="19">
        <v>16</v>
      </c>
      <c r="D19" s="114">
        <v>43265.666666666664</v>
      </c>
      <c r="E19" s="18">
        <v>5.9585166561910734</v>
      </c>
      <c r="F19" s="17">
        <v>14.171573604060915</v>
      </c>
      <c r="G19" s="6">
        <v>10</v>
      </c>
      <c r="H19" s="6">
        <v>5</v>
      </c>
      <c r="I19" s="2">
        <v>0</v>
      </c>
      <c r="J19" s="2">
        <v>0</v>
      </c>
      <c r="K19" s="2">
        <v>0</v>
      </c>
      <c r="L19" s="5">
        <v>0</v>
      </c>
      <c r="M19" s="5">
        <v>0</v>
      </c>
      <c r="N19" s="130">
        <v>0</v>
      </c>
      <c r="O19" s="130">
        <v>0</v>
      </c>
      <c r="P19" s="56">
        <v>0</v>
      </c>
      <c r="Q19" s="56">
        <v>0</v>
      </c>
      <c r="R19" s="56">
        <v>0</v>
      </c>
      <c r="S19" s="56">
        <v>0</v>
      </c>
    </row>
    <row r="20" spans="1:19" ht="22.05" customHeight="1" x14ac:dyDescent="0.3">
      <c r="A20" s="9"/>
      <c r="B20" s="9"/>
      <c r="C20" s="19">
        <v>17</v>
      </c>
      <c r="D20" s="114">
        <v>43265.708333333336</v>
      </c>
      <c r="E20" s="18">
        <v>6.6373350094280319</v>
      </c>
      <c r="F20" s="17">
        <v>10.449746192893402</v>
      </c>
      <c r="G20" s="6">
        <v>10</v>
      </c>
      <c r="H20" s="6">
        <v>5</v>
      </c>
      <c r="I20" s="2">
        <v>0</v>
      </c>
      <c r="J20" s="2">
        <v>0</v>
      </c>
      <c r="K20" s="2">
        <v>0</v>
      </c>
      <c r="L20" s="5">
        <v>0</v>
      </c>
      <c r="M20" s="5">
        <v>0</v>
      </c>
      <c r="N20" s="130">
        <v>0</v>
      </c>
      <c r="O20" s="130">
        <v>0</v>
      </c>
      <c r="P20" s="56">
        <v>0</v>
      </c>
      <c r="Q20" s="56">
        <v>0</v>
      </c>
      <c r="R20" s="56">
        <v>0</v>
      </c>
      <c r="S20" s="56">
        <v>0</v>
      </c>
    </row>
    <row r="21" spans="1:19" ht="22.05" customHeight="1" x14ac:dyDescent="0.3">
      <c r="C21" s="19">
        <v>18</v>
      </c>
      <c r="D21" s="114">
        <v>43265.75</v>
      </c>
      <c r="E21" s="18">
        <v>6.9390320553111238</v>
      </c>
      <c r="F21" s="17">
        <v>8.1593908629441625</v>
      </c>
      <c r="G21" s="6">
        <v>10</v>
      </c>
      <c r="H21" s="6">
        <v>5</v>
      </c>
      <c r="I21" s="2">
        <v>0</v>
      </c>
      <c r="J21" s="2">
        <v>0</v>
      </c>
      <c r="K21" s="2">
        <v>0</v>
      </c>
      <c r="L21" s="5">
        <v>0</v>
      </c>
      <c r="M21" s="5">
        <v>0</v>
      </c>
      <c r="N21" s="130">
        <v>0</v>
      </c>
      <c r="O21" s="130">
        <v>0</v>
      </c>
      <c r="P21" s="56">
        <v>0</v>
      </c>
      <c r="Q21" s="56">
        <v>0</v>
      </c>
      <c r="R21" s="56">
        <v>0</v>
      </c>
      <c r="S21" s="56">
        <v>0</v>
      </c>
    </row>
    <row r="22" spans="1:19" ht="22.05" customHeight="1" x14ac:dyDescent="0.3">
      <c r="C22" s="19">
        <v>19</v>
      </c>
      <c r="D22" s="114">
        <v>43265.791666666664</v>
      </c>
      <c r="E22" s="18">
        <v>5.2042740414833437</v>
      </c>
      <c r="F22" s="17">
        <v>4.4375634517766498</v>
      </c>
      <c r="G22" s="6">
        <v>10</v>
      </c>
      <c r="H22" s="6">
        <v>5</v>
      </c>
      <c r="I22" s="2">
        <v>0</v>
      </c>
      <c r="J22" s="2">
        <v>0</v>
      </c>
      <c r="K22" s="2">
        <v>0</v>
      </c>
      <c r="L22" s="5">
        <v>0</v>
      </c>
      <c r="M22" s="5">
        <v>0</v>
      </c>
      <c r="N22" s="130">
        <v>0</v>
      </c>
      <c r="O22" s="130">
        <v>0</v>
      </c>
      <c r="P22" s="56">
        <v>0</v>
      </c>
      <c r="Q22" s="56">
        <v>0</v>
      </c>
      <c r="R22" s="56">
        <v>0</v>
      </c>
      <c r="S22" s="56">
        <v>0</v>
      </c>
    </row>
    <row r="23" spans="1:19" ht="22.05" customHeight="1" x14ac:dyDescent="0.3">
      <c r="C23" s="19">
        <v>20</v>
      </c>
      <c r="D23" s="114">
        <v>43265.833333333336</v>
      </c>
      <c r="E23" s="18">
        <v>10.559396605908233</v>
      </c>
      <c r="F23" s="17">
        <v>1.1451776649746193</v>
      </c>
      <c r="G23" s="6">
        <v>10</v>
      </c>
      <c r="H23" s="6">
        <v>5</v>
      </c>
      <c r="I23" s="2">
        <v>0</v>
      </c>
      <c r="J23" s="2">
        <v>0</v>
      </c>
      <c r="K23" s="2">
        <v>0</v>
      </c>
      <c r="L23" s="5">
        <v>0</v>
      </c>
      <c r="M23" s="5">
        <v>0</v>
      </c>
      <c r="N23" s="130">
        <v>0</v>
      </c>
      <c r="O23" s="130">
        <v>0</v>
      </c>
      <c r="P23" s="56">
        <v>0</v>
      </c>
      <c r="Q23" s="56">
        <v>0</v>
      </c>
      <c r="R23" s="56">
        <v>0</v>
      </c>
      <c r="S23" s="56">
        <v>0</v>
      </c>
    </row>
    <row r="24" spans="1:19" ht="22.05" customHeight="1" x14ac:dyDescent="0.3">
      <c r="C24" s="19">
        <v>21</v>
      </c>
      <c r="D24" s="114">
        <v>43265.875</v>
      </c>
      <c r="E24" s="18">
        <v>9.654305468258956</v>
      </c>
      <c r="F24" s="17">
        <v>0</v>
      </c>
      <c r="G24" s="6">
        <v>10</v>
      </c>
      <c r="H24" s="6">
        <v>5</v>
      </c>
      <c r="I24" s="2">
        <v>0</v>
      </c>
      <c r="J24" s="2">
        <v>0</v>
      </c>
      <c r="K24" s="2">
        <v>0</v>
      </c>
      <c r="L24" s="5">
        <v>0</v>
      </c>
      <c r="M24" s="5">
        <v>0</v>
      </c>
      <c r="N24" s="130">
        <v>0</v>
      </c>
      <c r="O24" s="130">
        <v>0</v>
      </c>
      <c r="P24" s="56">
        <v>0</v>
      </c>
      <c r="Q24" s="56">
        <v>0</v>
      </c>
      <c r="R24" s="56">
        <v>0</v>
      </c>
      <c r="S24" s="56">
        <v>0</v>
      </c>
    </row>
    <row r="25" spans="1:19" ht="22.05" customHeight="1" x14ac:dyDescent="0.3">
      <c r="C25" s="19">
        <v>22</v>
      </c>
      <c r="D25" s="114">
        <v>43265.916666666664</v>
      </c>
      <c r="E25" s="18">
        <v>7.0144563167818985</v>
      </c>
      <c r="F25" s="17">
        <v>0</v>
      </c>
      <c r="G25" s="6">
        <v>10</v>
      </c>
      <c r="H25" s="6">
        <v>5</v>
      </c>
      <c r="I25" s="2">
        <v>0</v>
      </c>
      <c r="J25" s="2">
        <v>0</v>
      </c>
      <c r="K25" s="2">
        <v>0</v>
      </c>
      <c r="L25" s="5">
        <v>0</v>
      </c>
      <c r="M25" s="5">
        <v>0</v>
      </c>
      <c r="N25" s="130">
        <v>0</v>
      </c>
      <c r="O25" s="130">
        <v>0</v>
      </c>
      <c r="P25" s="56">
        <v>0</v>
      </c>
      <c r="Q25" s="56">
        <v>0</v>
      </c>
      <c r="R25" s="56">
        <v>0</v>
      </c>
      <c r="S25" s="56">
        <v>0</v>
      </c>
    </row>
    <row r="26" spans="1:19" ht="22.05" customHeight="1" x14ac:dyDescent="0.3">
      <c r="C26" s="19">
        <v>23</v>
      </c>
      <c r="D26" s="114">
        <v>43265.958333333336</v>
      </c>
      <c r="E26" s="18">
        <v>6.0339409176618481</v>
      </c>
      <c r="F26" s="17">
        <v>0</v>
      </c>
      <c r="G26" s="6">
        <v>10</v>
      </c>
      <c r="H26" s="6">
        <v>5</v>
      </c>
      <c r="I26" s="2">
        <v>0</v>
      </c>
      <c r="J26" s="2">
        <v>0</v>
      </c>
      <c r="K26" s="2">
        <v>0</v>
      </c>
      <c r="L26" s="5">
        <v>0</v>
      </c>
      <c r="M26" s="5">
        <v>0</v>
      </c>
      <c r="N26" s="130">
        <v>0</v>
      </c>
      <c r="O26" s="130">
        <v>0</v>
      </c>
      <c r="P26" s="56">
        <v>0</v>
      </c>
      <c r="Q26" s="56">
        <v>0</v>
      </c>
      <c r="R26" s="56">
        <v>0</v>
      </c>
      <c r="S26" s="56">
        <v>0</v>
      </c>
    </row>
    <row r="27" spans="1:19" ht="22.05" customHeight="1" x14ac:dyDescent="0.3">
      <c r="C27" s="19">
        <v>24</v>
      </c>
      <c r="D27" s="114">
        <v>43266</v>
      </c>
      <c r="E27" s="18">
        <v>2.7152734129478313</v>
      </c>
      <c r="F27" s="17">
        <v>0</v>
      </c>
      <c r="G27" s="6">
        <v>10</v>
      </c>
      <c r="H27" s="6">
        <v>5</v>
      </c>
      <c r="I27" s="2">
        <v>0</v>
      </c>
      <c r="J27" s="2">
        <v>0</v>
      </c>
      <c r="K27" s="2">
        <v>0</v>
      </c>
      <c r="L27" s="5">
        <v>0</v>
      </c>
      <c r="M27" s="5">
        <v>0</v>
      </c>
      <c r="N27" s="130">
        <v>0</v>
      </c>
      <c r="O27" s="130">
        <v>0</v>
      </c>
      <c r="P27" s="56">
        <v>0</v>
      </c>
      <c r="Q27" s="56">
        <v>0</v>
      </c>
      <c r="R27" s="56">
        <v>0</v>
      </c>
      <c r="S27" s="56">
        <v>0</v>
      </c>
    </row>
    <row r="28" spans="1:19" ht="22.05" customHeight="1" x14ac:dyDescent="0.3">
      <c r="C28" s="19"/>
      <c r="D28" s="34"/>
      <c r="E28" s="2"/>
      <c r="F28" s="2"/>
      <c r="G28" s="2"/>
      <c r="H28" s="18"/>
      <c r="I28" s="17"/>
      <c r="J28" s="5"/>
      <c r="K28" s="5"/>
      <c r="L28" s="6"/>
      <c r="M28" s="6"/>
      <c r="N28" s="56"/>
      <c r="O28" s="56"/>
      <c r="P28" s="56"/>
      <c r="Q28" s="56"/>
    </row>
    <row r="29" spans="1:19" ht="22.05" customHeight="1" x14ac:dyDescent="0.3">
      <c r="C29" s="19"/>
      <c r="D29" s="34"/>
      <c r="E29" s="2"/>
      <c r="F29" s="2"/>
      <c r="G29" s="2"/>
      <c r="H29" s="18"/>
      <c r="I29" s="17"/>
      <c r="J29" s="5"/>
      <c r="K29" s="5"/>
      <c r="L29" s="6"/>
      <c r="M29" s="6"/>
      <c r="N29" s="56"/>
      <c r="O29" s="56"/>
      <c r="P29" s="56"/>
      <c r="Q29" s="56"/>
    </row>
    <row r="30" spans="1:19" ht="22.05" customHeight="1" x14ac:dyDescent="0.3">
      <c r="C30" s="19"/>
      <c r="D30" s="34"/>
      <c r="E30" s="2"/>
      <c r="F30" s="2"/>
      <c r="G30" s="2"/>
      <c r="H30" s="18"/>
      <c r="I30" s="17"/>
      <c r="J30" s="5"/>
      <c r="K30" s="5"/>
      <c r="L30" s="6"/>
      <c r="M30" s="6"/>
      <c r="N30" s="56"/>
      <c r="O30" s="56"/>
      <c r="P30" s="56"/>
      <c r="Q30" s="56"/>
    </row>
    <row r="31" spans="1:19" ht="22.05" customHeight="1" x14ac:dyDescent="0.3">
      <c r="C31" s="19"/>
      <c r="D31" s="34"/>
      <c r="E31" s="2"/>
      <c r="F31" s="2"/>
      <c r="G31" s="2"/>
      <c r="H31" s="18"/>
      <c r="I31" s="17"/>
      <c r="J31" s="5"/>
      <c r="K31" s="5"/>
      <c r="L31" s="6"/>
      <c r="M31" s="6"/>
      <c r="N31" s="56"/>
      <c r="O31" s="56"/>
      <c r="P31" s="56"/>
      <c r="Q31" s="56"/>
    </row>
    <row r="32" spans="1:19"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DABA5-5722-4A97-BFDB-4B02AEFF53FD}">
  <sheetPr codeName="Tabelle8"/>
  <dimension ref="A1:U100"/>
  <sheetViews>
    <sheetView zoomScale="55" zoomScaleNormal="55" workbookViewId="0">
      <selection activeCell="V13" sqref="V13"/>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19" width="13.77734375" style="1" customWidth="1"/>
    <col min="22" max="16384" width="11.5546875" style="1"/>
  </cols>
  <sheetData>
    <row r="1" spans="1:21" ht="41.4" customHeight="1" thickBot="1" x14ac:dyDescent="0.35">
      <c r="A1" s="158" t="s">
        <v>67</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row>
    <row r="4" spans="1:21" ht="22.05" customHeight="1" x14ac:dyDescent="0.45">
      <c r="A4" s="16" t="s">
        <v>3</v>
      </c>
      <c r="B4" s="35">
        <v>0.1</v>
      </c>
      <c r="C4" s="49">
        <v>1</v>
      </c>
      <c r="D4" s="114">
        <v>43265.041666666664</v>
      </c>
      <c r="E4" s="51">
        <v>1.1495914519170332</v>
      </c>
      <c r="F4" s="17">
        <v>0</v>
      </c>
      <c r="G4" s="54">
        <v>10</v>
      </c>
      <c r="H4" s="54">
        <v>5</v>
      </c>
      <c r="I4" s="36">
        <v>0</v>
      </c>
      <c r="J4" s="36">
        <v>0</v>
      </c>
      <c r="K4" s="36">
        <v>0</v>
      </c>
      <c r="L4" s="53">
        <v>0</v>
      </c>
      <c r="M4" s="53">
        <v>0</v>
      </c>
      <c r="N4" s="130">
        <v>0</v>
      </c>
      <c r="O4" s="130">
        <v>0</v>
      </c>
      <c r="P4" s="56">
        <v>0</v>
      </c>
      <c r="Q4" s="56">
        <v>0</v>
      </c>
      <c r="R4" s="56">
        <v>0</v>
      </c>
      <c r="S4" s="56">
        <v>0</v>
      </c>
    </row>
    <row r="5" spans="1:21" ht="22.05" customHeight="1" x14ac:dyDescent="0.45">
      <c r="A5" s="16" t="s">
        <v>4</v>
      </c>
      <c r="B5" s="35">
        <v>5</v>
      </c>
      <c r="C5" s="19">
        <v>2</v>
      </c>
      <c r="D5" s="114">
        <v>43265.083333333336</v>
      </c>
      <c r="E5" s="18">
        <v>0.74167190446260201</v>
      </c>
      <c r="F5" s="17">
        <v>0</v>
      </c>
      <c r="G5" s="6">
        <v>10</v>
      </c>
      <c r="H5" s="6">
        <v>5</v>
      </c>
      <c r="I5" s="2">
        <v>0</v>
      </c>
      <c r="J5" s="2">
        <v>0</v>
      </c>
      <c r="K5" s="2">
        <v>0</v>
      </c>
      <c r="L5" s="5">
        <v>0</v>
      </c>
      <c r="M5" s="5">
        <v>0</v>
      </c>
      <c r="N5" s="130">
        <v>0</v>
      </c>
      <c r="O5" s="130">
        <v>0</v>
      </c>
      <c r="P5" s="56">
        <v>0</v>
      </c>
      <c r="Q5" s="56">
        <v>0</v>
      </c>
      <c r="R5" s="56">
        <v>0</v>
      </c>
      <c r="S5" s="56">
        <v>0</v>
      </c>
    </row>
    <row r="6" spans="1:21" ht="22.05" customHeight="1" x14ac:dyDescent="0.45">
      <c r="A6" s="16" t="s">
        <v>5</v>
      </c>
      <c r="B6" s="35">
        <v>0.5</v>
      </c>
      <c r="C6" s="19">
        <v>3</v>
      </c>
      <c r="D6" s="114">
        <v>43265.125</v>
      </c>
      <c r="E6" s="18">
        <v>0.33375235700817091</v>
      </c>
      <c r="F6" s="17">
        <v>0</v>
      </c>
      <c r="G6" s="6">
        <v>10</v>
      </c>
      <c r="H6" s="6">
        <v>5</v>
      </c>
      <c r="I6" s="2">
        <v>0</v>
      </c>
      <c r="J6" s="2">
        <v>0</v>
      </c>
      <c r="K6" s="2">
        <v>0</v>
      </c>
      <c r="L6" s="5">
        <v>0</v>
      </c>
      <c r="M6" s="5">
        <v>0</v>
      </c>
      <c r="N6" s="130">
        <v>0</v>
      </c>
      <c r="O6" s="130">
        <v>0</v>
      </c>
      <c r="P6" s="56">
        <v>0</v>
      </c>
      <c r="Q6" s="56">
        <v>0</v>
      </c>
      <c r="R6" s="56">
        <v>0</v>
      </c>
      <c r="S6" s="56">
        <v>0</v>
      </c>
    </row>
    <row r="7" spans="1:21" ht="22.05" customHeight="1" x14ac:dyDescent="0.45">
      <c r="A7" s="16" t="s">
        <v>6</v>
      </c>
      <c r="B7" s="35">
        <v>20</v>
      </c>
      <c r="C7" s="19">
        <v>4</v>
      </c>
      <c r="D7" s="114">
        <v>43265.166666666664</v>
      </c>
      <c r="E7" s="18">
        <v>0.48208673790069134</v>
      </c>
      <c r="F7" s="17">
        <v>0</v>
      </c>
      <c r="G7" s="6">
        <v>10</v>
      </c>
      <c r="H7" s="6">
        <v>5</v>
      </c>
      <c r="I7" s="2">
        <v>0</v>
      </c>
      <c r="J7" s="2">
        <v>0</v>
      </c>
      <c r="K7" s="2">
        <v>0</v>
      </c>
      <c r="L7" s="5">
        <v>0</v>
      </c>
      <c r="M7" s="5">
        <v>0</v>
      </c>
      <c r="N7" s="130">
        <v>0</v>
      </c>
      <c r="O7" s="130">
        <v>0</v>
      </c>
      <c r="P7" s="56">
        <v>0</v>
      </c>
      <c r="Q7" s="56">
        <v>0</v>
      </c>
      <c r="R7" s="56">
        <v>0</v>
      </c>
      <c r="S7" s="56">
        <v>0</v>
      </c>
    </row>
    <row r="8" spans="1:21" ht="22.05" customHeight="1" x14ac:dyDescent="0.45">
      <c r="A8" s="16" t="s">
        <v>7</v>
      </c>
      <c r="B8" s="35">
        <v>1</v>
      </c>
      <c r="C8" s="19">
        <v>5</v>
      </c>
      <c r="D8" s="114">
        <v>43265.208333333336</v>
      </c>
      <c r="E8" s="18">
        <v>0.51917033312382144</v>
      </c>
      <c r="F8" s="17">
        <v>0</v>
      </c>
      <c r="G8" s="6">
        <v>10</v>
      </c>
      <c r="H8" s="6">
        <v>5</v>
      </c>
      <c r="I8" s="2">
        <v>0</v>
      </c>
      <c r="J8" s="2">
        <v>0</v>
      </c>
      <c r="K8" s="2">
        <v>0</v>
      </c>
      <c r="L8" s="5">
        <v>0</v>
      </c>
      <c r="M8" s="5">
        <v>0</v>
      </c>
      <c r="N8" s="130">
        <v>0</v>
      </c>
      <c r="O8" s="130">
        <v>0</v>
      </c>
      <c r="P8" s="56">
        <v>0</v>
      </c>
      <c r="Q8" s="56">
        <v>0</v>
      </c>
      <c r="R8" s="56">
        <v>0</v>
      </c>
      <c r="S8" s="56">
        <v>0</v>
      </c>
    </row>
    <row r="9" spans="1:21" ht="22.05" customHeight="1" x14ac:dyDescent="0.45">
      <c r="A9" s="16" t="s">
        <v>8</v>
      </c>
      <c r="B9" s="35">
        <v>20</v>
      </c>
      <c r="C9" s="19">
        <v>6</v>
      </c>
      <c r="D9" s="114">
        <v>43265.25</v>
      </c>
      <c r="E9" s="18">
        <v>1.4833438089252038</v>
      </c>
      <c r="F9" s="17">
        <v>0</v>
      </c>
      <c r="G9" s="6">
        <v>10</v>
      </c>
      <c r="H9" s="6">
        <v>5</v>
      </c>
      <c r="I9" s="2">
        <v>0</v>
      </c>
      <c r="J9" s="2">
        <v>0</v>
      </c>
      <c r="K9" s="2">
        <v>0</v>
      </c>
      <c r="L9" s="5">
        <v>0</v>
      </c>
      <c r="M9" s="5">
        <v>0</v>
      </c>
      <c r="N9" s="130">
        <v>0</v>
      </c>
      <c r="O9" s="130">
        <v>0</v>
      </c>
      <c r="P9" s="56">
        <v>0</v>
      </c>
      <c r="Q9" s="56">
        <v>0</v>
      </c>
      <c r="R9" s="56">
        <v>0</v>
      </c>
      <c r="S9" s="56">
        <v>0</v>
      </c>
    </row>
    <row r="10" spans="1:21" ht="22.05" customHeight="1" x14ac:dyDescent="0.45">
      <c r="A10" s="16" t="s">
        <v>31</v>
      </c>
      <c r="B10" s="35">
        <v>20</v>
      </c>
      <c r="C10" s="19">
        <v>7</v>
      </c>
      <c r="D10" s="114">
        <v>43265.291666666664</v>
      </c>
      <c r="E10" s="18">
        <v>3.0779384035197985</v>
      </c>
      <c r="F10" s="17">
        <v>0.57900318133616124</v>
      </c>
      <c r="G10" s="6">
        <v>10</v>
      </c>
      <c r="H10" s="6">
        <v>5</v>
      </c>
      <c r="I10" s="2">
        <v>0</v>
      </c>
      <c r="J10" s="2">
        <v>0</v>
      </c>
      <c r="K10" s="2">
        <v>0</v>
      </c>
      <c r="L10" s="5">
        <v>0</v>
      </c>
      <c r="M10" s="5">
        <v>0</v>
      </c>
      <c r="N10" s="130">
        <v>0</v>
      </c>
      <c r="O10" s="130">
        <v>0</v>
      </c>
      <c r="P10" s="56">
        <v>0</v>
      </c>
      <c r="Q10" s="56">
        <v>0</v>
      </c>
      <c r="R10" s="56">
        <v>0</v>
      </c>
      <c r="S10" s="56">
        <v>0</v>
      </c>
    </row>
    <row r="11" spans="1:21" ht="22.05" customHeight="1" x14ac:dyDescent="0.45">
      <c r="A11" s="16" t="s">
        <v>9</v>
      </c>
      <c r="B11" s="35">
        <v>10</v>
      </c>
      <c r="C11" s="19">
        <v>8</v>
      </c>
      <c r="D11" s="114">
        <v>43265.333333333336</v>
      </c>
      <c r="E11" s="18">
        <v>3.6341923318667502</v>
      </c>
      <c r="F11" s="17">
        <v>3.5705196182396608</v>
      </c>
      <c r="G11" s="6">
        <v>10</v>
      </c>
      <c r="H11" s="6">
        <v>5</v>
      </c>
      <c r="I11" s="2">
        <v>0</v>
      </c>
      <c r="J11" s="2">
        <v>0</v>
      </c>
      <c r="K11" s="2">
        <v>0</v>
      </c>
      <c r="L11" s="5">
        <v>0</v>
      </c>
      <c r="M11" s="5">
        <v>0</v>
      </c>
      <c r="N11" s="130">
        <v>0</v>
      </c>
      <c r="O11" s="130">
        <v>0</v>
      </c>
      <c r="P11" s="56">
        <v>0</v>
      </c>
      <c r="Q11" s="56">
        <v>0</v>
      </c>
      <c r="R11" s="56">
        <v>0</v>
      </c>
      <c r="S11" s="56">
        <v>0</v>
      </c>
    </row>
    <row r="12" spans="1:21" ht="22.05" customHeight="1" x14ac:dyDescent="0.45">
      <c r="A12" s="16" t="s">
        <v>15</v>
      </c>
      <c r="B12" s="35">
        <v>10</v>
      </c>
      <c r="C12" s="19">
        <v>9</v>
      </c>
      <c r="D12" s="114">
        <v>43265.375</v>
      </c>
      <c r="E12" s="18">
        <v>3.5971087366436199</v>
      </c>
      <c r="F12" s="17">
        <v>6.1760339342523869</v>
      </c>
      <c r="G12" s="6">
        <v>10</v>
      </c>
      <c r="H12" s="6">
        <v>5</v>
      </c>
      <c r="I12" s="2">
        <v>0</v>
      </c>
      <c r="J12" s="2">
        <v>0</v>
      </c>
      <c r="K12" s="2">
        <v>0</v>
      </c>
      <c r="L12" s="5">
        <v>0</v>
      </c>
      <c r="M12" s="5">
        <v>0</v>
      </c>
      <c r="N12" s="130">
        <v>0</v>
      </c>
      <c r="O12" s="130">
        <v>0</v>
      </c>
      <c r="P12" s="56">
        <v>0</v>
      </c>
      <c r="Q12" s="56">
        <v>0</v>
      </c>
      <c r="R12" s="56">
        <v>0</v>
      </c>
      <c r="S12" s="56">
        <v>0</v>
      </c>
    </row>
    <row r="13" spans="1:21" ht="22.05" customHeight="1" x14ac:dyDescent="0.45">
      <c r="A13" s="16" t="s">
        <v>32</v>
      </c>
      <c r="B13" s="35">
        <v>24</v>
      </c>
      <c r="C13" s="19">
        <v>10</v>
      </c>
      <c r="D13" s="114">
        <v>43265.416666666664</v>
      </c>
      <c r="E13" s="18">
        <v>1.8912633563796355</v>
      </c>
      <c r="F13" s="17">
        <v>9.1675503711558868</v>
      </c>
      <c r="G13" s="6">
        <v>10</v>
      </c>
      <c r="H13" s="6">
        <v>5</v>
      </c>
      <c r="I13" s="2">
        <v>0</v>
      </c>
      <c r="J13" s="2">
        <v>0</v>
      </c>
      <c r="K13" s="2">
        <v>0</v>
      </c>
      <c r="L13" s="5">
        <v>0</v>
      </c>
      <c r="M13" s="5">
        <v>0</v>
      </c>
      <c r="N13" s="130">
        <v>0</v>
      </c>
      <c r="O13" s="130">
        <v>0</v>
      </c>
      <c r="P13" s="56">
        <v>0</v>
      </c>
      <c r="Q13" s="56">
        <v>0</v>
      </c>
      <c r="R13" s="56">
        <v>0</v>
      </c>
      <c r="S13" s="56">
        <v>0</v>
      </c>
    </row>
    <row r="14" spans="1:21" ht="22.05" customHeight="1" x14ac:dyDescent="0.45">
      <c r="A14" s="128" t="s">
        <v>10</v>
      </c>
      <c r="B14" s="129"/>
      <c r="C14" s="19">
        <v>11</v>
      </c>
      <c r="D14" s="114">
        <v>43265.458333333336</v>
      </c>
      <c r="E14" s="18">
        <v>0.74167190446260201</v>
      </c>
      <c r="F14" s="17">
        <v>10.711558854718982</v>
      </c>
      <c r="G14" s="6">
        <v>10</v>
      </c>
      <c r="H14" s="6">
        <v>5</v>
      </c>
      <c r="I14" s="2">
        <v>0</v>
      </c>
      <c r="J14" s="2">
        <v>0</v>
      </c>
      <c r="K14" s="2">
        <v>0</v>
      </c>
      <c r="L14" s="5">
        <v>0</v>
      </c>
      <c r="M14" s="5">
        <v>0</v>
      </c>
      <c r="N14" s="130">
        <v>0</v>
      </c>
      <c r="O14" s="130">
        <v>0</v>
      </c>
      <c r="P14" s="56">
        <v>0</v>
      </c>
      <c r="Q14" s="56">
        <v>0</v>
      </c>
      <c r="R14" s="56">
        <v>0</v>
      </c>
      <c r="S14" s="56">
        <v>0</v>
      </c>
    </row>
    <row r="15" spans="1:21" ht="22.05" customHeight="1" x14ac:dyDescent="0.45">
      <c r="A15" s="164">
        <v>0</v>
      </c>
      <c r="B15" s="165"/>
      <c r="C15" s="19">
        <v>12</v>
      </c>
      <c r="D15" s="114">
        <v>43265.5</v>
      </c>
      <c r="E15" s="18">
        <v>0.92708988057825259</v>
      </c>
      <c r="F15" s="17">
        <v>11.869565217391306</v>
      </c>
      <c r="G15" s="6">
        <v>10</v>
      </c>
      <c r="H15" s="6">
        <v>5</v>
      </c>
      <c r="I15" s="2">
        <v>0</v>
      </c>
      <c r="J15" s="2">
        <v>0</v>
      </c>
      <c r="K15" s="2">
        <v>0</v>
      </c>
      <c r="L15" s="5">
        <v>0</v>
      </c>
      <c r="M15" s="5">
        <v>0</v>
      </c>
      <c r="N15" s="130">
        <v>0</v>
      </c>
      <c r="O15" s="130">
        <v>0</v>
      </c>
      <c r="P15" s="56">
        <v>0</v>
      </c>
      <c r="Q15" s="56">
        <v>0</v>
      </c>
      <c r="R15" s="56">
        <v>0</v>
      </c>
      <c r="S15" s="56">
        <v>0</v>
      </c>
    </row>
    <row r="16" spans="1:21" ht="22.05" customHeight="1" x14ac:dyDescent="0.45">
      <c r="A16" s="164">
        <v>0</v>
      </c>
      <c r="B16" s="165"/>
      <c r="C16" s="19">
        <v>13</v>
      </c>
      <c r="D16" s="114">
        <v>43265.541666666664</v>
      </c>
      <c r="E16" s="18">
        <v>3.9308610936517914</v>
      </c>
      <c r="F16" s="17">
        <v>9.360551431601273</v>
      </c>
      <c r="G16" s="6">
        <v>10</v>
      </c>
      <c r="H16" s="6">
        <v>5</v>
      </c>
      <c r="I16" s="2">
        <v>0</v>
      </c>
      <c r="J16" s="2">
        <v>0</v>
      </c>
      <c r="K16" s="2">
        <v>0</v>
      </c>
      <c r="L16" s="5">
        <v>0</v>
      </c>
      <c r="M16" s="5">
        <v>0</v>
      </c>
      <c r="N16" s="130">
        <v>0</v>
      </c>
      <c r="O16" s="130">
        <v>0</v>
      </c>
      <c r="P16" s="56">
        <v>0</v>
      </c>
      <c r="Q16" s="56">
        <v>0</v>
      </c>
      <c r="R16" s="56">
        <v>0</v>
      </c>
      <c r="S16" s="56">
        <v>0</v>
      </c>
    </row>
    <row r="17" spans="1:19" ht="22.05" customHeight="1" x14ac:dyDescent="0.3">
      <c r="A17" s="8"/>
      <c r="B17" s="8"/>
      <c r="C17" s="19">
        <v>14</v>
      </c>
      <c r="D17" s="114">
        <v>43265.583333333336</v>
      </c>
      <c r="E17" s="18">
        <v>4.0421118793211814</v>
      </c>
      <c r="F17" s="17">
        <v>8.3955461293743383</v>
      </c>
      <c r="G17" s="6">
        <v>10</v>
      </c>
      <c r="H17" s="6">
        <v>5</v>
      </c>
      <c r="I17" s="2">
        <v>0</v>
      </c>
      <c r="J17" s="2">
        <v>0</v>
      </c>
      <c r="K17" s="2">
        <v>0</v>
      </c>
      <c r="L17" s="5">
        <v>0</v>
      </c>
      <c r="M17" s="5">
        <v>0</v>
      </c>
      <c r="N17" s="130">
        <v>0</v>
      </c>
      <c r="O17" s="130">
        <v>0</v>
      </c>
      <c r="P17" s="56">
        <v>0</v>
      </c>
      <c r="Q17" s="56">
        <v>0</v>
      </c>
      <c r="R17" s="56">
        <v>0</v>
      </c>
      <c r="S17" s="56">
        <v>0</v>
      </c>
    </row>
    <row r="18" spans="1:19" ht="22.05" customHeight="1" x14ac:dyDescent="0.3">
      <c r="A18" s="8"/>
      <c r="B18" s="8"/>
      <c r="C18" s="19">
        <v>15</v>
      </c>
      <c r="D18" s="114">
        <v>43265.625</v>
      </c>
      <c r="E18" s="18">
        <v>2.5958516656191071</v>
      </c>
      <c r="F18" s="17">
        <v>7.6235418875927907</v>
      </c>
      <c r="G18" s="6">
        <v>10</v>
      </c>
      <c r="H18" s="6">
        <v>5</v>
      </c>
      <c r="I18" s="2">
        <v>0</v>
      </c>
      <c r="J18" s="2">
        <v>0</v>
      </c>
      <c r="K18" s="2">
        <v>0</v>
      </c>
      <c r="L18" s="5">
        <v>0</v>
      </c>
      <c r="M18" s="5">
        <v>0</v>
      </c>
      <c r="N18" s="130">
        <v>0</v>
      </c>
      <c r="O18" s="130">
        <v>0</v>
      </c>
      <c r="P18" s="56">
        <v>0</v>
      </c>
      <c r="Q18" s="56">
        <v>0</v>
      </c>
      <c r="R18" s="56">
        <v>0</v>
      </c>
      <c r="S18" s="56">
        <v>0</v>
      </c>
    </row>
    <row r="19" spans="1:19" ht="22.05" customHeight="1" x14ac:dyDescent="0.45">
      <c r="A19" s="157"/>
      <c r="B19" s="157"/>
      <c r="C19" s="19">
        <v>16</v>
      </c>
      <c r="D19" s="114">
        <v>43265.666666666664</v>
      </c>
      <c r="E19" s="18">
        <v>2.9296040226272781</v>
      </c>
      <c r="F19" s="17">
        <v>7.9130434782608692</v>
      </c>
      <c r="G19" s="6">
        <v>10</v>
      </c>
      <c r="H19" s="6">
        <v>5</v>
      </c>
      <c r="I19" s="2">
        <v>0</v>
      </c>
      <c r="J19" s="2">
        <v>0</v>
      </c>
      <c r="K19" s="2">
        <v>0</v>
      </c>
      <c r="L19" s="5">
        <v>0</v>
      </c>
      <c r="M19" s="5">
        <v>0</v>
      </c>
      <c r="N19" s="130">
        <v>0</v>
      </c>
      <c r="O19" s="130">
        <v>0</v>
      </c>
      <c r="P19" s="56">
        <v>0</v>
      </c>
      <c r="Q19" s="56">
        <v>0</v>
      </c>
      <c r="R19" s="56">
        <v>0</v>
      </c>
      <c r="S19" s="56">
        <v>0</v>
      </c>
    </row>
    <row r="20" spans="1:19" ht="22.05" customHeight="1" x14ac:dyDescent="0.3">
      <c r="A20" s="9"/>
      <c r="B20" s="9"/>
      <c r="C20" s="19">
        <v>17</v>
      </c>
      <c r="D20" s="114">
        <v>43265.708333333336</v>
      </c>
      <c r="E20" s="18">
        <v>3.2633563796354492</v>
      </c>
      <c r="F20" s="17">
        <v>6.27253446447508</v>
      </c>
      <c r="G20" s="6">
        <v>10</v>
      </c>
      <c r="H20" s="6">
        <v>5</v>
      </c>
      <c r="I20" s="2">
        <v>0</v>
      </c>
      <c r="J20" s="2">
        <v>0</v>
      </c>
      <c r="K20" s="2">
        <v>0</v>
      </c>
      <c r="L20" s="5">
        <v>0</v>
      </c>
      <c r="M20" s="5">
        <v>0</v>
      </c>
      <c r="N20" s="130">
        <v>0</v>
      </c>
      <c r="O20" s="130">
        <v>0</v>
      </c>
      <c r="P20" s="56">
        <v>0</v>
      </c>
      <c r="Q20" s="56">
        <v>0</v>
      </c>
      <c r="R20" s="56">
        <v>0</v>
      </c>
      <c r="S20" s="56">
        <v>0</v>
      </c>
    </row>
    <row r="21" spans="1:19" ht="22.05" customHeight="1" x14ac:dyDescent="0.3">
      <c r="C21" s="19">
        <v>18</v>
      </c>
      <c r="D21" s="114">
        <v>43265.75</v>
      </c>
      <c r="E21" s="18">
        <v>3.4116907605279692</v>
      </c>
      <c r="F21" s="17">
        <v>5.3075291622481444</v>
      </c>
      <c r="G21" s="6">
        <v>10</v>
      </c>
      <c r="H21" s="6">
        <v>5</v>
      </c>
      <c r="I21" s="2">
        <v>0</v>
      </c>
      <c r="J21" s="2">
        <v>0</v>
      </c>
      <c r="K21" s="2">
        <v>0</v>
      </c>
      <c r="L21" s="5">
        <v>0</v>
      </c>
      <c r="M21" s="5">
        <v>0</v>
      </c>
      <c r="N21" s="130">
        <v>0</v>
      </c>
      <c r="O21" s="130">
        <v>0</v>
      </c>
      <c r="P21" s="56">
        <v>0</v>
      </c>
      <c r="Q21" s="56">
        <v>0</v>
      </c>
      <c r="R21" s="56">
        <v>0</v>
      </c>
      <c r="S21" s="56">
        <v>0</v>
      </c>
    </row>
    <row r="22" spans="1:19" ht="22.05" customHeight="1" x14ac:dyDescent="0.3">
      <c r="C22" s="19">
        <v>19</v>
      </c>
      <c r="D22" s="114">
        <v>43265.791666666664</v>
      </c>
      <c r="E22" s="18">
        <v>2.5587680703959772</v>
      </c>
      <c r="F22" s="17">
        <v>3.0880169671261934</v>
      </c>
      <c r="G22" s="6">
        <v>10</v>
      </c>
      <c r="H22" s="6">
        <v>5</v>
      </c>
      <c r="I22" s="2">
        <v>0</v>
      </c>
      <c r="J22" s="2">
        <v>0</v>
      </c>
      <c r="K22" s="2">
        <v>0</v>
      </c>
      <c r="L22" s="5">
        <v>0</v>
      </c>
      <c r="M22" s="5">
        <v>0</v>
      </c>
      <c r="N22" s="130">
        <v>0</v>
      </c>
      <c r="O22" s="130">
        <v>0</v>
      </c>
      <c r="P22" s="56">
        <v>0</v>
      </c>
      <c r="Q22" s="56">
        <v>0</v>
      </c>
      <c r="R22" s="56">
        <v>0</v>
      </c>
      <c r="S22" s="56">
        <v>0</v>
      </c>
    </row>
    <row r="23" spans="1:19" ht="22.05" customHeight="1" x14ac:dyDescent="0.3">
      <c r="C23" s="19">
        <v>20</v>
      </c>
      <c r="D23" s="114">
        <v>43265.833333333336</v>
      </c>
      <c r="E23" s="18">
        <v>5.1917033312382141</v>
      </c>
      <c r="F23" s="17">
        <v>0.96500530222693537</v>
      </c>
      <c r="G23" s="6">
        <v>10</v>
      </c>
      <c r="H23" s="6">
        <v>5</v>
      </c>
      <c r="I23" s="2">
        <v>0</v>
      </c>
      <c r="J23" s="2">
        <v>0</v>
      </c>
      <c r="K23" s="2">
        <v>0</v>
      </c>
      <c r="L23" s="5">
        <v>0</v>
      </c>
      <c r="M23" s="5">
        <v>0</v>
      </c>
      <c r="N23" s="130">
        <v>0</v>
      </c>
      <c r="O23" s="130">
        <v>0</v>
      </c>
      <c r="P23" s="56">
        <v>0</v>
      </c>
      <c r="Q23" s="56">
        <v>0</v>
      </c>
      <c r="R23" s="56">
        <v>0</v>
      </c>
      <c r="S23" s="56">
        <v>0</v>
      </c>
    </row>
    <row r="24" spans="1:19" ht="22.05" customHeight="1" x14ac:dyDescent="0.3">
      <c r="C24" s="19">
        <v>21</v>
      </c>
      <c r="D24" s="114">
        <v>43265.875</v>
      </c>
      <c r="E24" s="18">
        <v>4.746700188560653</v>
      </c>
      <c r="F24" s="17">
        <v>0</v>
      </c>
      <c r="G24" s="6">
        <v>10</v>
      </c>
      <c r="H24" s="6">
        <v>5</v>
      </c>
      <c r="I24" s="2">
        <v>0</v>
      </c>
      <c r="J24" s="2">
        <v>0</v>
      </c>
      <c r="K24" s="2">
        <v>0</v>
      </c>
      <c r="L24" s="5">
        <v>0</v>
      </c>
      <c r="M24" s="5">
        <v>0</v>
      </c>
      <c r="N24" s="130">
        <v>0</v>
      </c>
      <c r="O24" s="130">
        <v>0</v>
      </c>
      <c r="P24" s="56">
        <v>0</v>
      </c>
      <c r="Q24" s="56">
        <v>0</v>
      </c>
      <c r="R24" s="56">
        <v>0</v>
      </c>
      <c r="S24" s="56">
        <v>0</v>
      </c>
    </row>
    <row r="25" spans="1:19" ht="22.05" customHeight="1" x14ac:dyDescent="0.3">
      <c r="C25" s="19">
        <v>22</v>
      </c>
      <c r="D25" s="114">
        <v>43265.916666666664</v>
      </c>
      <c r="E25" s="18">
        <v>3.4487743557510999</v>
      </c>
      <c r="F25" s="17">
        <v>0</v>
      </c>
      <c r="G25" s="6">
        <v>10</v>
      </c>
      <c r="H25" s="6">
        <v>5</v>
      </c>
      <c r="I25" s="2">
        <v>0</v>
      </c>
      <c r="J25" s="2">
        <v>0</v>
      </c>
      <c r="K25" s="2">
        <v>0</v>
      </c>
      <c r="L25" s="5">
        <v>0</v>
      </c>
      <c r="M25" s="5">
        <v>0</v>
      </c>
      <c r="N25" s="130">
        <v>0</v>
      </c>
      <c r="O25" s="130">
        <v>0</v>
      </c>
      <c r="P25" s="56">
        <v>0</v>
      </c>
      <c r="Q25" s="56">
        <v>0</v>
      </c>
      <c r="R25" s="56">
        <v>0</v>
      </c>
      <c r="S25" s="56">
        <v>0</v>
      </c>
    </row>
    <row r="26" spans="1:19" ht="22.05" customHeight="1" x14ac:dyDescent="0.3">
      <c r="C26" s="19">
        <v>23</v>
      </c>
      <c r="D26" s="114">
        <v>43265.958333333336</v>
      </c>
      <c r="E26" s="18">
        <v>2.9666876178504085</v>
      </c>
      <c r="F26" s="17">
        <v>0</v>
      </c>
      <c r="G26" s="6">
        <v>10</v>
      </c>
      <c r="H26" s="6">
        <v>5</v>
      </c>
      <c r="I26" s="2">
        <v>0</v>
      </c>
      <c r="J26" s="2">
        <v>0</v>
      </c>
      <c r="K26" s="2">
        <v>0</v>
      </c>
      <c r="L26" s="5">
        <v>0</v>
      </c>
      <c r="M26" s="5">
        <v>0</v>
      </c>
      <c r="N26" s="130">
        <v>0</v>
      </c>
      <c r="O26" s="130">
        <v>0</v>
      </c>
      <c r="P26" s="56">
        <v>0</v>
      </c>
      <c r="Q26" s="56">
        <v>0</v>
      </c>
      <c r="R26" s="56">
        <v>0</v>
      </c>
      <c r="S26" s="56">
        <v>0</v>
      </c>
    </row>
    <row r="27" spans="1:19" ht="22.05" customHeight="1" x14ac:dyDescent="0.3">
      <c r="C27" s="19">
        <v>24</v>
      </c>
      <c r="D27" s="114">
        <v>43266</v>
      </c>
      <c r="E27" s="18">
        <v>1.3350094280326836</v>
      </c>
      <c r="F27" s="17">
        <v>0</v>
      </c>
      <c r="G27" s="6">
        <v>10</v>
      </c>
      <c r="H27" s="6">
        <v>5</v>
      </c>
      <c r="I27" s="2">
        <v>0</v>
      </c>
      <c r="J27" s="2">
        <v>0</v>
      </c>
      <c r="K27" s="2">
        <v>0</v>
      </c>
      <c r="L27" s="5">
        <v>0</v>
      </c>
      <c r="M27" s="5">
        <v>0</v>
      </c>
      <c r="N27" s="130">
        <v>0</v>
      </c>
      <c r="O27" s="130">
        <v>0</v>
      </c>
      <c r="P27" s="56">
        <v>0</v>
      </c>
      <c r="Q27" s="56">
        <v>0</v>
      </c>
      <c r="R27" s="56">
        <v>0</v>
      </c>
      <c r="S27" s="56">
        <v>0</v>
      </c>
    </row>
    <row r="28" spans="1:19" ht="22.05" customHeight="1" x14ac:dyDescent="0.3">
      <c r="C28" s="19"/>
      <c r="D28" s="34"/>
      <c r="E28" s="2"/>
      <c r="F28" s="2"/>
      <c r="G28" s="2"/>
      <c r="H28" s="18"/>
      <c r="I28" s="17"/>
      <c r="J28" s="5"/>
      <c r="K28" s="5"/>
      <c r="L28" s="6"/>
      <c r="M28" s="6"/>
      <c r="N28" s="56"/>
      <c r="O28" s="56"/>
      <c r="P28" s="56"/>
      <c r="Q28" s="56"/>
    </row>
    <row r="29" spans="1:19" ht="22.05" customHeight="1" x14ac:dyDescent="0.3">
      <c r="C29" s="19"/>
      <c r="D29" s="34"/>
      <c r="E29" s="2"/>
      <c r="F29" s="2"/>
      <c r="G29" s="2"/>
      <c r="H29" s="18"/>
      <c r="I29" s="17"/>
      <c r="J29" s="5"/>
      <c r="K29" s="5"/>
      <c r="L29" s="6"/>
      <c r="M29" s="6"/>
      <c r="N29" s="56"/>
      <c r="O29" s="56"/>
      <c r="P29" s="56"/>
      <c r="Q29" s="56"/>
    </row>
    <row r="30" spans="1:19" ht="22.05" customHeight="1" x14ac:dyDescent="0.3">
      <c r="C30" s="19"/>
      <c r="D30" s="34"/>
      <c r="E30" s="2"/>
      <c r="F30" s="2"/>
      <c r="G30" s="2"/>
      <c r="H30" s="18"/>
      <c r="I30" s="17"/>
      <c r="J30" s="5"/>
      <c r="K30" s="5"/>
      <c r="L30" s="6"/>
      <c r="M30" s="6"/>
      <c r="N30" s="56"/>
      <c r="O30" s="56"/>
      <c r="P30" s="56"/>
      <c r="Q30" s="56"/>
    </row>
    <row r="31" spans="1:19" ht="22.05" customHeight="1" x14ac:dyDescent="0.3">
      <c r="C31" s="19"/>
      <c r="D31" s="34"/>
      <c r="E31" s="2"/>
      <c r="F31" s="2"/>
      <c r="G31" s="2"/>
      <c r="H31" s="18"/>
      <c r="I31" s="17"/>
      <c r="J31" s="5"/>
      <c r="K31" s="5"/>
      <c r="L31" s="6"/>
      <c r="M31" s="6"/>
      <c r="N31" s="56"/>
      <c r="O31" s="56"/>
      <c r="P31" s="56"/>
      <c r="Q31" s="56"/>
    </row>
    <row r="32" spans="1:19"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0E9D-C5C0-43A7-8DCE-61459030A325}">
  <sheetPr codeName="Tabelle9"/>
  <dimension ref="A1:U100"/>
  <sheetViews>
    <sheetView zoomScale="55" zoomScaleNormal="55" workbookViewId="0">
      <selection activeCell="F3" sqref="F3"/>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19" width="13.77734375" style="1" customWidth="1"/>
    <col min="22" max="16384" width="11.5546875" style="1"/>
  </cols>
  <sheetData>
    <row r="1" spans="1:21" ht="41.4" customHeight="1" thickBot="1" x14ac:dyDescent="0.35">
      <c r="A1" s="158" t="s">
        <v>69</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row>
    <row r="4" spans="1:21" ht="22.05" customHeight="1" x14ac:dyDescent="0.45">
      <c r="A4" s="16" t="s">
        <v>3</v>
      </c>
      <c r="B4" s="35">
        <v>0.1</v>
      </c>
      <c r="C4" s="49">
        <v>1</v>
      </c>
      <c r="D4" s="114">
        <v>43265.041666666664</v>
      </c>
      <c r="E4" s="51">
        <v>0.4829382982779436</v>
      </c>
      <c r="F4" s="17">
        <v>0</v>
      </c>
      <c r="G4" s="54">
        <v>10</v>
      </c>
      <c r="H4" s="54">
        <v>5</v>
      </c>
      <c r="I4" s="36">
        <v>0</v>
      </c>
      <c r="J4" s="36">
        <v>0</v>
      </c>
      <c r="K4" s="36">
        <v>0</v>
      </c>
      <c r="L4" s="53">
        <v>0</v>
      </c>
      <c r="M4" s="53">
        <v>0</v>
      </c>
      <c r="N4" s="130">
        <v>0</v>
      </c>
      <c r="O4" s="130">
        <v>0</v>
      </c>
      <c r="P4" s="56">
        <v>0</v>
      </c>
      <c r="Q4" s="56">
        <v>0</v>
      </c>
      <c r="R4" s="56">
        <v>0</v>
      </c>
      <c r="S4" s="56">
        <v>0</v>
      </c>
    </row>
    <row r="5" spans="1:21" ht="22.05" customHeight="1" x14ac:dyDescent="0.45">
      <c r="A5" s="16" t="s">
        <v>4</v>
      </c>
      <c r="B5" s="35">
        <v>5</v>
      </c>
      <c r="C5" s="19">
        <v>2</v>
      </c>
      <c r="D5" s="114">
        <v>43265.083333333336</v>
      </c>
      <c r="E5" s="18">
        <v>0.20334244138018678</v>
      </c>
      <c r="F5" s="17">
        <v>0</v>
      </c>
      <c r="G5" s="6">
        <v>10</v>
      </c>
      <c r="H5" s="6">
        <v>5</v>
      </c>
      <c r="I5" s="2">
        <v>0</v>
      </c>
      <c r="J5" s="2">
        <v>0</v>
      </c>
      <c r="K5" s="2">
        <v>0</v>
      </c>
      <c r="L5" s="5">
        <v>0</v>
      </c>
      <c r="M5" s="5">
        <v>0</v>
      </c>
      <c r="N5" s="130">
        <v>0</v>
      </c>
      <c r="O5" s="130">
        <v>0</v>
      </c>
      <c r="P5" s="56">
        <v>0</v>
      </c>
      <c r="Q5" s="56">
        <v>0</v>
      </c>
      <c r="R5" s="56">
        <v>0</v>
      </c>
      <c r="S5" s="56">
        <v>0</v>
      </c>
    </row>
    <row r="6" spans="1:21" ht="22.05" customHeight="1" x14ac:dyDescent="0.45">
      <c r="A6" s="16" t="s">
        <v>5</v>
      </c>
      <c r="B6" s="35">
        <v>0.5</v>
      </c>
      <c r="C6" s="19">
        <v>3</v>
      </c>
      <c r="D6" s="114">
        <v>43265.125</v>
      </c>
      <c r="E6" s="18">
        <v>0.27959585689775679</v>
      </c>
      <c r="F6" s="17">
        <v>0</v>
      </c>
      <c r="G6" s="6">
        <v>10</v>
      </c>
      <c r="H6" s="6">
        <v>5</v>
      </c>
      <c r="I6" s="2">
        <v>0</v>
      </c>
      <c r="J6" s="2">
        <v>0</v>
      </c>
      <c r="K6" s="2">
        <v>0</v>
      </c>
      <c r="L6" s="5">
        <v>0</v>
      </c>
      <c r="M6" s="5">
        <v>0</v>
      </c>
      <c r="N6" s="130">
        <v>0</v>
      </c>
      <c r="O6" s="130">
        <v>0</v>
      </c>
      <c r="P6" s="56">
        <v>0</v>
      </c>
      <c r="Q6" s="56">
        <v>0</v>
      </c>
      <c r="R6" s="56">
        <v>0</v>
      </c>
      <c r="S6" s="56">
        <v>0</v>
      </c>
    </row>
    <row r="7" spans="1:21" ht="22.05" customHeight="1" x14ac:dyDescent="0.45">
      <c r="A7" s="16" t="s">
        <v>6</v>
      </c>
      <c r="B7" s="35">
        <v>20</v>
      </c>
      <c r="C7" s="19">
        <v>4</v>
      </c>
      <c r="D7" s="114">
        <v>43265.166666666664</v>
      </c>
      <c r="E7" s="18">
        <v>0.35584927241532688</v>
      </c>
      <c r="F7" s="17">
        <v>0</v>
      </c>
      <c r="G7" s="6">
        <v>10</v>
      </c>
      <c r="H7" s="6">
        <v>5</v>
      </c>
      <c r="I7" s="2">
        <v>0</v>
      </c>
      <c r="J7" s="2">
        <v>0</v>
      </c>
      <c r="K7" s="2">
        <v>0</v>
      </c>
      <c r="L7" s="5">
        <v>0</v>
      </c>
      <c r="M7" s="5">
        <v>0</v>
      </c>
      <c r="N7" s="130">
        <v>0</v>
      </c>
      <c r="O7" s="130">
        <v>0</v>
      </c>
      <c r="P7" s="56">
        <v>0</v>
      </c>
      <c r="Q7" s="56">
        <v>0</v>
      </c>
      <c r="R7" s="56">
        <v>0</v>
      </c>
      <c r="S7" s="56">
        <v>0</v>
      </c>
    </row>
    <row r="8" spans="1:21" ht="22.05" customHeight="1" x14ac:dyDescent="0.45">
      <c r="A8" s="16" t="s">
        <v>7</v>
      </c>
      <c r="B8" s="35">
        <v>1</v>
      </c>
      <c r="C8" s="19">
        <v>5</v>
      </c>
      <c r="D8" s="114">
        <v>43265.208333333336</v>
      </c>
      <c r="E8" s="18">
        <v>0.38126707758785028</v>
      </c>
      <c r="F8" s="17">
        <v>0</v>
      </c>
      <c r="G8" s="6">
        <v>10</v>
      </c>
      <c r="H8" s="6">
        <v>5</v>
      </c>
      <c r="I8" s="2">
        <v>0</v>
      </c>
      <c r="J8" s="2">
        <v>0</v>
      </c>
      <c r="K8" s="2">
        <v>0</v>
      </c>
      <c r="L8" s="5">
        <v>0</v>
      </c>
      <c r="M8" s="5">
        <v>0</v>
      </c>
      <c r="N8" s="130">
        <v>0</v>
      </c>
      <c r="O8" s="130">
        <v>0</v>
      </c>
      <c r="P8" s="56">
        <v>0</v>
      </c>
      <c r="Q8" s="56">
        <v>0</v>
      </c>
      <c r="R8" s="56">
        <v>0</v>
      </c>
      <c r="S8" s="56">
        <v>0</v>
      </c>
    </row>
    <row r="9" spans="1:21" ht="22.05" customHeight="1" x14ac:dyDescent="0.45">
      <c r="A9" s="16" t="s">
        <v>8</v>
      </c>
      <c r="B9" s="35">
        <v>20</v>
      </c>
      <c r="C9" s="19">
        <v>6</v>
      </c>
      <c r="D9" s="114">
        <v>43265.25</v>
      </c>
      <c r="E9" s="18">
        <v>0.83878757069327059</v>
      </c>
      <c r="F9" s="17">
        <v>0</v>
      </c>
      <c r="G9" s="6">
        <v>10</v>
      </c>
      <c r="H9" s="6">
        <v>5</v>
      </c>
      <c r="I9" s="2">
        <v>0</v>
      </c>
      <c r="J9" s="2">
        <v>0</v>
      </c>
      <c r="K9" s="2">
        <v>0</v>
      </c>
      <c r="L9" s="5">
        <v>0</v>
      </c>
      <c r="M9" s="5">
        <v>0</v>
      </c>
      <c r="N9" s="130">
        <v>0</v>
      </c>
      <c r="O9" s="130">
        <v>0</v>
      </c>
      <c r="P9" s="56">
        <v>0</v>
      </c>
      <c r="Q9" s="56">
        <v>0</v>
      </c>
      <c r="R9" s="56">
        <v>0</v>
      </c>
      <c r="S9" s="56">
        <v>0</v>
      </c>
    </row>
    <row r="10" spans="1:21" ht="22.05" customHeight="1" x14ac:dyDescent="0.45">
      <c r="A10" s="16" t="s">
        <v>31</v>
      </c>
      <c r="B10" s="35">
        <v>20</v>
      </c>
      <c r="C10" s="19">
        <v>7</v>
      </c>
      <c r="D10" s="114">
        <v>43265.291666666664</v>
      </c>
      <c r="E10" s="18">
        <v>2.2367668551820548</v>
      </c>
      <c r="F10" s="17">
        <v>0</v>
      </c>
      <c r="G10" s="6">
        <v>10</v>
      </c>
      <c r="H10" s="6">
        <v>5</v>
      </c>
      <c r="I10" s="2">
        <v>0</v>
      </c>
      <c r="J10" s="2">
        <v>0</v>
      </c>
      <c r="K10" s="2">
        <v>0</v>
      </c>
      <c r="L10" s="5">
        <v>0</v>
      </c>
      <c r="M10" s="5">
        <v>0</v>
      </c>
      <c r="N10" s="130">
        <v>0</v>
      </c>
      <c r="O10" s="130">
        <v>0</v>
      </c>
      <c r="P10" s="56">
        <v>0</v>
      </c>
      <c r="Q10" s="56">
        <v>0</v>
      </c>
      <c r="R10" s="56">
        <v>0</v>
      </c>
      <c r="S10" s="56">
        <v>0</v>
      </c>
    </row>
    <row r="11" spans="1:21" ht="22.05" customHeight="1" x14ac:dyDescent="0.45">
      <c r="A11" s="16" t="s">
        <v>9</v>
      </c>
      <c r="B11" s="35">
        <v>10</v>
      </c>
      <c r="C11" s="19">
        <v>8</v>
      </c>
      <c r="D11" s="114">
        <v>43265.333333333336</v>
      </c>
      <c r="E11" s="18">
        <v>2.7197051534599987</v>
      </c>
      <c r="F11" s="17">
        <v>0.47715736040609136</v>
      </c>
      <c r="G11" s="6">
        <v>10</v>
      </c>
      <c r="H11" s="6">
        <v>5</v>
      </c>
      <c r="I11" s="2">
        <v>0</v>
      </c>
      <c r="J11" s="2">
        <v>0</v>
      </c>
      <c r="K11" s="2">
        <v>0</v>
      </c>
      <c r="L11" s="5">
        <v>0</v>
      </c>
      <c r="M11" s="5">
        <v>0</v>
      </c>
      <c r="N11" s="130">
        <v>0</v>
      </c>
      <c r="O11" s="130">
        <v>0</v>
      </c>
      <c r="P11" s="56">
        <v>0</v>
      </c>
      <c r="Q11" s="56">
        <v>0</v>
      </c>
      <c r="R11" s="56">
        <v>0</v>
      </c>
      <c r="S11" s="56">
        <v>0</v>
      </c>
    </row>
    <row r="12" spans="1:21" ht="22.05" customHeight="1" x14ac:dyDescent="0.45">
      <c r="A12" s="16" t="s">
        <v>15</v>
      </c>
      <c r="B12" s="35">
        <v>10</v>
      </c>
      <c r="C12" s="19">
        <v>9</v>
      </c>
      <c r="D12" s="114">
        <v>43265.375</v>
      </c>
      <c r="E12" s="18">
        <v>2.4655271017347649</v>
      </c>
      <c r="F12" s="17">
        <v>2.6243654822335025</v>
      </c>
      <c r="G12" s="6">
        <v>10</v>
      </c>
      <c r="H12" s="6">
        <v>5</v>
      </c>
      <c r="I12" s="2">
        <v>0</v>
      </c>
      <c r="J12" s="2">
        <v>0</v>
      </c>
      <c r="K12" s="2">
        <v>0</v>
      </c>
      <c r="L12" s="5">
        <v>0</v>
      </c>
      <c r="M12" s="5">
        <v>0</v>
      </c>
      <c r="N12" s="130">
        <v>0</v>
      </c>
      <c r="O12" s="130">
        <v>0</v>
      </c>
      <c r="P12" s="56">
        <v>0</v>
      </c>
      <c r="Q12" s="56">
        <v>0</v>
      </c>
      <c r="R12" s="56">
        <v>0</v>
      </c>
      <c r="S12" s="56">
        <v>0</v>
      </c>
    </row>
    <row r="13" spans="1:21" ht="22.05" customHeight="1" x14ac:dyDescent="0.45">
      <c r="A13" s="16" t="s">
        <v>32</v>
      </c>
      <c r="B13" s="35">
        <v>24</v>
      </c>
      <c r="C13" s="19">
        <v>10</v>
      </c>
      <c r="D13" s="114">
        <v>43265.416666666664</v>
      </c>
      <c r="E13" s="18">
        <v>2.1350956344919618</v>
      </c>
      <c r="F13" s="17">
        <v>4.1512690355329944</v>
      </c>
      <c r="G13" s="6">
        <v>10</v>
      </c>
      <c r="H13" s="6">
        <v>5</v>
      </c>
      <c r="I13" s="2">
        <v>0</v>
      </c>
      <c r="J13" s="2">
        <v>0</v>
      </c>
      <c r="K13" s="2">
        <v>0</v>
      </c>
      <c r="L13" s="5">
        <v>0</v>
      </c>
      <c r="M13" s="5">
        <v>0</v>
      </c>
      <c r="N13" s="130">
        <v>0</v>
      </c>
      <c r="O13" s="130">
        <v>0</v>
      </c>
      <c r="P13" s="56">
        <v>0</v>
      </c>
      <c r="Q13" s="56">
        <v>0</v>
      </c>
      <c r="R13" s="56">
        <v>0</v>
      </c>
      <c r="S13" s="56">
        <v>0</v>
      </c>
    </row>
    <row r="14" spans="1:21" ht="22.05" customHeight="1" x14ac:dyDescent="0.45">
      <c r="A14" s="128" t="s">
        <v>10</v>
      </c>
      <c r="B14" s="129"/>
      <c r="C14" s="19">
        <v>11</v>
      </c>
      <c r="D14" s="114">
        <v>43265.458333333336</v>
      </c>
      <c r="E14" s="18">
        <v>2.2876024655271019</v>
      </c>
      <c r="F14" s="17">
        <v>4.9147208121827406</v>
      </c>
      <c r="G14" s="6">
        <v>10</v>
      </c>
      <c r="H14" s="6">
        <v>5</v>
      </c>
      <c r="I14" s="2">
        <v>0</v>
      </c>
      <c r="J14" s="2">
        <v>0</v>
      </c>
      <c r="K14" s="2">
        <v>0</v>
      </c>
      <c r="L14" s="5">
        <v>0</v>
      </c>
      <c r="M14" s="5">
        <v>0</v>
      </c>
      <c r="N14" s="130">
        <v>0</v>
      </c>
      <c r="O14" s="130">
        <v>0</v>
      </c>
      <c r="P14" s="56">
        <v>0</v>
      </c>
      <c r="Q14" s="56">
        <v>0</v>
      </c>
      <c r="R14" s="56">
        <v>0</v>
      </c>
      <c r="S14" s="56">
        <v>0</v>
      </c>
    </row>
    <row r="15" spans="1:21" ht="22.05" customHeight="1" x14ac:dyDescent="0.45">
      <c r="A15" s="164">
        <v>0</v>
      </c>
      <c r="B15" s="165"/>
      <c r="C15" s="19">
        <v>12</v>
      </c>
      <c r="D15" s="114">
        <v>43265.5</v>
      </c>
      <c r="E15" s="18">
        <v>2.6180339327699054</v>
      </c>
      <c r="F15" s="17">
        <v>5.4873096446700504</v>
      </c>
      <c r="G15" s="6">
        <v>10</v>
      </c>
      <c r="H15" s="6">
        <v>5</v>
      </c>
      <c r="I15" s="2">
        <v>0</v>
      </c>
      <c r="J15" s="2">
        <v>0</v>
      </c>
      <c r="K15" s="2">
        <v>0</v>
      </c>
      <c r="L15" s="5">
        <v>0</v>
      </c>
      <c r="M15" s="5">
        <v>0</v>
      </c>
      <c r="N15" s="130">
        <v>0</v>
      </c>
      <c r="O15" s="130">
        <v>0</v>
      </c>
      <c r="P15" s="56">
        <v>0</v>
      </c>
      <c r="Q15" s="56">
        <v>0</v>
      </c>
      <c r="R15" s="56">
        <v>0</v>
      </c>
      <c r="S15" s="56">
        <v>0</v>
      </c>
    </row>
    <row r="16" spans="1:21" ht="22.05" customHeight="1" x14ac:dyDescent="0.45">
      <c r="A16" s="164">
        <v>0</v>
      </c>
      <c r="B16" s="165"/>
      <c r="C16" s="19">
        <v>13</v>
      </c>
      <c r="D16" s="114">
        <v>43265.541666666664</v>
      </c>
      <c r="E16" s="18">
        <v>3.0501366207028022</v>
      </c>
      <c r="F16" s="17">
        <v>5.8690355329949249</v>
      </c>
      <c r="G16" s="6">
        <v>10</v>
      </c>
      <c r="H16" s="6">
        <v>5</v>
      </c>
      <c r="I16" s="2">
        <v>0</v>
      </c>
      <c r="J16" s="2">
        <v>0</v>
      </c>
      <c r="K16" s="2">
        <v>0</v>
      </c>
      <c r="L16" s="5">
        <v>0</v>
      </c>
      <c r="M16" s="5">
        <v>0</v>
      </c>
      <c r="N16" s="130">
        <v>0</v>
      </c>
      <c r="O16" s="130">
        <v>0</v>
      </c>
      <c r="P16" s="56">
        <v>0</v>
      </c>
      <c r="Q16" s="56">
        <v>0</v>
      </c>
      <c r="R16" s="56">
        <v>0</v>
      </c>
      <c r="S16" s="56">
        <v>0</v>
      </c>
    </row>
    <row r="17" spans="1:19" ht="22.05" customHeight="1" x14ac:dyDescent="0.3">
      <c r="A17" s="8"/>
      <c r="B17" s="8"/>
      <c r="C17" s="19">
        <v>14</v>
      </c>
      <c r="D17" s="114">
        <v>43265.583333333336</v>
      </c>
      <c r="E17" s="18">
        <v>2.5926161275973816</v>
      </c>
      <c r="F17" s="17">
        <v>5.5350253807106604</v>
      </c>
      <c r="G17" s="6">
        <v>10</v>
      </c>
      <c r="H17" s="6">
        <v>5</v>
      </c>
      <c r="I17" s="2">
        <v>0</v>
      </c>
      <c r="J17" s="2">
        <v>0</v>
      </c>
      <c r="K17" s="2">
        <v>0</v>
      </c>
      <c r="L17" s="5">
        <v>0</v>
      </c>
      <c r="M17" s="5">
        <v>0</v>
      </c>
      <c r="N17" s="130">
        <v>0</v>
      </c>
      <c r="O17" s="130">
        <v>0</v>
      </c>
      <c r="P17" s="56">
        <v>0</v>
      </c>
      <c r="Q17" s="56">
        <v>0</v>
      </c>
      <c r="R17" s="56">
        <v>0</v>
      </c>
      <c r="S17" s="56">
        <v>0</v>
      </c>
    </row>
    <row r="18" spans="1:19" ht="22.05" customHeight="1" x14ac:dyDescent="0.3">
      <c r="A18" s="8"/>
      <c r="B18" s="8"/>
      <c r="C18" s="19">
        <v>15</v>
      </c>
      <c r="D18" s="114">
        <v>43265.625</v>
      </c>
      <c r="E18" s="18">
        <v>2.3892736862171953</v>
      </c>
      <c r="F18" s="17">
        <v>5.1532994923857869</v>
      </c>
      <c r="G18" s="6">
        <v>10</v>
      </c>
      <c r="H18" s="6">
        <v>5</v>
      </c>
      <c r="I18" s="2">
        <v>0</v>
      </c>
      <c r="J18" s="2">
        <v>0</v>
      </c>
      <c r="K18" s="2">
        <v>0</v>
      </c>
      <c r="L18" s="5">
        <v>0</v>
      </c>
      <c r="M18" s="5">
        <v>0</v>
      </c>
      <c r="N18" s="130">
        <v>0</v>
      </c>
      <c r="O18" s="130">
        <v>0</v>
      </c>
      <c r="P18" s="56">
        <v>0</v>
      </c>
      <c r="Q18" s="56">
        <v>0</v>
      </c>
      <c r="R18" s="56">
        <v>0</v>
      </c>
      <c r="S18" s="56">
        <v>0</v>
      </c>
    </row>
    <row r="19" spans="1:19" ht="22.05" customHeight="1" x14ac:dyDescent="0.45">
      <c r="A19" s="157"/>
      <c r="B19" s="157"/>
      <c r="C19" s="19">
        <v>16</v>
      </c>
      <c r="D19" s="114">
        <v>43265.666666666664</v>
      </c>
      <c r="E19" s="18">
        <v>2.6180339327699049</v>
      </c>
      <c r="F19" s="17">
        <v>4.7238578680203052</v>
      </c>
      <c r="G19" s="6">
        <v>10</v>
      </c>
      <c r="H19" s="6">
        <v>5</v>
      </c>
      <c r="I19" s="2">
        <v>0</v>
      </c>
      <c r="J19" s="2">
        <v>0</v>
      </c>
      <c r="K19" s="2">
        <v>0</v>
      </c>
      <c r="L19" s="5">
        <v>0</v>
      </c>
      <c r="M19" s="5">
        <v>0</v>
      </c>
      <c r="N19" s="130">
        <v>0</v>
      </c>
      <c r="O19" s="130">
        <v>0</v>
      </c>
      <c r="P19" s="56">
        <v>0</v>
      </c>
      <c r="Q19" s="56">
        <v>0</v>
      </c>
      <c r="R19" s="56">
        <v>0</v>
      </c>
      <c r="S19" s="56">
        <v>0</v>
      </c>
    </row>
    <row r="20" spans="1:19" ht="22.05" customHeight="1" x14ac:dyDescent="0.3">
      <c r="A20" s="9"/>
      <c r="B20" s="9"/>
      <c r="C20" s="19">
        <v>17</v>
      </c>
      <c r="D20" s="114">
        <v>43265.708333333336</v>
      </c>
      <c r="E20" s="18">
        <v>2.2876024655271019</v>
      </c>
      <c r="F20" s="17">
        <v>3.4832487309644673</v>
      </c>
      <c r="G20" s="6">
        <v>10</v>
      </c>
      <c r="H20" s="6">
        <v>5</v>
      </c>
      <c r="I20" s="2">
        <v>0</v>
      </c>
      <c r="J20" s="2">
        <v>0</v>
      </c>
      <c r="K20" s="2">
        <v>0</v>
      </c>
      <c r="L20" s="5">
        <v>0</v>
      </c>
      <c r="M20" s="5">
        <v>0</v>
      </c>
      <c r="N20" s="130">
        <v>0</v>
      </c>
      <c r="O20" s="130">
        <v>0</v>
      </c>
      <c r="P20" s="56">
        <v>0</v>
      </c>
      <c r="Q20" s="56">
        <v>0</v>
      </c>
      <c r="R20" s="56">
        <v>0</v>
      </c>
      <c r="S20" s="56">
        <v>0</v>
      </c>
    </row>
    <row r="21" spans="1:19" ht="22.05" customHeight="1" x14ac:dyDescent="0.3">
      <c r="C21" s="19">
        <v>18</v>
      </c>
      <c r="D21" s="114">
        <v>43265.75</v>
      </c>
      <c r="E21" s="18">
        <v>2.033424413801868</v>
      </c>
      <c r="F21" s="17">
        <v>2.7197969543147207</v>
      </c>
      <c r="G21" s="6">
        <v>10</v>
      </c>
      <c r="H21" s="6">
        <v>5</v>
      </c>
      <c r="I21" s="2">
        <v>0</v>
      </c>
      <c r="J21" s="2">
        <v>0</v>
      </c>
      <c r="K21" s="2">
        <v>0</v>
      </c>
      <c r="L21" s="5">
        <v>0</v>
      </c>
      <c r="M21" s="5">
        <v>0</v>
      </c>
      <c r="N21" s="130">
        <v>0</v>
      </c>
      <c r="O21" s="130">
        <v>0</v>
      </c>
      <c r="P21" s="56">
        <v>0</v>
      </c>
      <c r="Q21" s="56">
        <v>0</v>
      </c>
      <c r="R21" s="56">
        <v>0</v>
      </c>
      <c r="S21" s="56">
        <v>0</v>
      </c>
    </row>
    <row r="22" spans="1:19" ht="22.05" customHeight="1" x14ac:dyDescent="0.3">
      <c r="C22" s="19">
        <v>19</v>
      </c>
      <c r="D22" s="114">
        <v>43265.791666666664</v>
      </c>
      <c r="E22" s="18">
        <v>3.5076571138082224</v>
      </c>
      <c r="F22" s="17">
        <v>1.4791878172588833</v>
      </c>
      <c r="G22" s="6">
        <v>10</v>
      </c>
      <c r="H22" s="6">
        <v>5</v>
      </c>
      <c r="I22" s="2">
        <v>0</v>
      </c>
      <c r="J22" s="2">
        <v>0</v>
      </c>
      <c r="K22" s="2">
        <v>0</v>
      </c>
      <c r="L22" s="5">
        <v>0</v>
      </c>
      <c r="M22" s="5">
        <v>0</v>
      </c>
      <c r="N22" s="130">
        <v>0</v>
      </c>
      <c r="O22" s="130">
        <v>0</v>
      </c>
      <c r="P22" s="56">
        <v>0</v>
      </c>
      <c r="Q22" s="56">
        <v>0</v>
      </c>
      <c r="R22" s="56">
        <v>0</v>
      </c>
      <c r="S22" s="56">
        <v>0</v>
      </c>
    </row>
    <row r="23" spans="1:19" ht="22.05" customHeight="1" x14ac:dyDescent="0.3">
      <c r="C23" s="19">
        <v>20</v>
      </c>
      <c r="D23" s="114">
        <v>43265.833333333336</v>
      </c>
      <c r="E23" s="18">
        <v>2.592616127597382</v>
      </c>
      <c r="F23" s="17">
        <v>0.38172588832487314</v>
      </c>
      <c r="G23" s="6">
        <v>10</v>
      </c>
      <c r="H23" s="6">
        <v>5</v>
      </c>
      <c r="I23" s="2">
        <v>0</v>
      </c>
      <c r="J23" s="2">
        <v>0</v>
      </c>
      <c r="K23" s="2">
        <v>0</v>
      </c>
      <c r="L23" s="5">
        <v>0</v>
      </c>
      <c r="M23" s="5">
        <v>0</v>
      </c>
      <c r="N23" s="130">
        <v>0</v>
      </c>
      <c r="O23" s="130">
        <v>0</v>
      </c>
      <c r="P23" s="56">
        <v>0</v>
      </c>
      <c r="Q23" s="56">
        <v>0</v>
      </c>
      <c r="R23" s="56">
        <v>0</v>
      </c>
      <c r="S23" s="56">
        <v>0</v>
      </c>
    </row>
    <row r="24" spans="1:19" ht="22.05" customHeight="1" x14ac:dyDescent="0.3">
      <c r="C24" s="19">
        <v>21</v>
      </c>
      <c r="D24" s="114">
        <v>43265.875</v>
      </c>
      <c r="E24" s="18">
        <v>2.8722119844951384</v>
      </c>
      <c r="F24" s="17">
        <v>0</v>
      </c>
      <c r="G24" s="6">
        <v>10</v>
      </c>
      <c r="H24" s="6">
        <v>5</v>
      </c>
      <c r="I24" s="2">
        <v>0</v>
      </c>
      <c r="J24" s="2">
        <v>0</v>
      </c>
      <c r="K24" s="2">
        <v>0</v>
      </c>
      <c r="L24" s="5">
        <v>0</v>
      </c>
      <c r="M24" s="5">
        <v>0</v>
      </c>
      <c r="N24" s="130">
        <v>0</v>
      </c>
      <c r="O24" s="130">
        <v>0</v>
      </c>
      <c r="P24" s="56">
        <v>0</v>
      </c>
      <c r="Q24" s="56">
        <v>0</v>
      </c>
      <c r="R24" s="56">
        <v>0</v>
      </c>
      <c r="S24" s="56">
        <v>0</v>
      </c>
    </row>
    <row r="25" spans="1:19" ht="22.05" customHeight="1" x14ac:dyDescent="0.3">
      <c r="C25" s="19">
        <v>22</v>
      </c>
      <c r="D25" s="114">
        <v>43265.916666666664</v>
      </c>
      <c r="E25" s="18">
        <v>3.4425875325665629</v>
      </c>
      <c r="F25" s="17">
        <v>0</v>
      </c>
      <c r="G25" s="6">
        <v>10</v>
      </c>
      <c r="H25" s="6">
        <v>5</v>
      </c>
      <c r="I25" s="2">
        <v>0</v>
      </c>
      <c r="J25" s="2">
        <v>0</v>
      </c>
      <c r="K25" s="2">
        <v>0</v>
      </c>
      <c r="L25" s="5">
        <v>0</v>
      </c>
      <c r="M25" s="5">
        <v>0</v>
      </c>
      <c r="N25" s="130">
        <v>0</v>
      </c>
      <c r="O25" s="130">
        <v>0</v>
      </c>
      <c r="P25" s="56">
        <v>0</v>
      </c>
      <c r="Q25" s="56">
        <v>0</v>
      </c>
      <c r="R25" s="56">
        <v>0</v>
      </c>
      <c r="S25" s="56">
        <v>0</v>
      </c>
    </row>
    <row r="26" spans="1:19" ht="22.05" customHeight="1" x14ac:dyDescent="0.3">
      <c r="C26" s="19">
        <v>23</v>
      </c>
      <c r="D26" s="114">
        <v>43265.958333333336</v>
      </c>
      <c r="E26" s="18">
        <v>2.4146914913897186</v>
      </c>
      <c r="F26" s="17">
        <v>0</v>
      </c>
      <c r="G26" s="6">
        <v>10</v>
      </c>
      <c r="H26" s="6">
        <v>5</v>
      </c>
      <c r="I26" s="2">
        <v>0</v>
      </c>
      <c r="J26" s="2">
        <v>0</v>
      </c>
      <c r="K26" s="2">
        <v>0</v>
      </c>
      <c r="L26" s="5">
        <v>0</v>
      </c>
      <c r="M26" s="5">
        <v>0</v>
      </c>
      <c r="N26" s="130">
        <v>0</v>
      </c>
      <c r="O26" s="130">
        <v>0</v>
      </c>
      <c r="P26" s="56">
        <v>0</v>
      </c>
      <c r="Q26" s="56">
        <v>0</v>
      </c>
      <c r="R26" s="56">
        <v>0</v>
      </c>
      <c r="S26" s="56">
        <v>0</v>
      </c>
    </row>
    <row r="27" spans="1:19" ht="22.05" customHeight="1" x14ac:dyDescent="0.3">
      <c r="C27" s="19">
        <v>24</v>
      </c>
      <c r="D27" s="114">
        <v>43266</v>
      </c>
      <c r="E27" s="18">
        <v>1.1946368431085972</v>
      </c>
      <c r="F27" s="17">
        <v>0</v>
      </c>
      <c r="G27" s="6">
        <v>10</v>
      </c>
      <c r="H27" s="6">
        <v>5</v>
      </c>
      <c r="I27" s="2">
        <v>0</v>
      </c>
      <c r="J27" s="2">
        <v>0</v>
      </c>
      <c r="K27" s="2">
        <v>0</v>
      </c>
      <c r="L27" s="5">
        <v>0</v>
      </c>
      <c r="M27" s="5">
        <v>0</v>
      </c>
      <c r="N27" s="130">
        <v>0</v>
      </c>
      <c r="O27" s="130">
        <v>0</v>
      </c>
      <c r="P27" s="56">
        <v>0</v>
      </c>
      <c r="Q27" s="56">
        <v>0</v>
      </c>
      <c r="R27" s="56">
        <v>0</v>
      </c>
      <c r="S27" s="56">
        <v>0</v>
      </c>
    </row>
    <row r="28" spans="1:19" ht="22.05" customHeight="1" x14ac:dyDescent="0.3">
      <c r="C28" s="19"/>
      <c r="D28" s="34"/>
      <c r="E28" s="2"/>
      <c r="F28" s="2"/>
      <c r="G28" s="2"/>
      <c r="H28" s="18"/>
      <c r="I28" s="17"/>
      <c r="J28" s="5"/>
      <c r="K28" s="5"/>
      <c r="L28" s="6"/>
      <c r="M28" s="6"/>
      <c r="N28" s="56"/>
      <c r="O28" s="56"/>
      <c r="P28" s="56"/>
      <c r="Q28" s="56"/>
    </row>
    <row r="29" spans="1:19" ht="22.05" customHeight="1" x14ac:dyDescent="0.3">
      <c r="C29" s="19"/>
      <c r="D29" s="34"/>
      <c r="E29" s="2"/>
      <c r="F29" s="2"/>
      <c r="G29" s="2"/>
      <c r="H29" s="18"/>
      <c r="I29" s="17"/>
      <c r="J29" s="5"/>
      <c r="K29" s="5"/>
      <c r="L29" s="6"/>
      <c r="M29" s="6"/>
      <c r="N29" s="56"/>
      <c r="O29" s="56"/>
      <c r="P29" s="56"/>
      <c r="Q29" s="56"/>
    </row>
    <row r="30" spans="1:19" ht="22.05" customHeight="1" x14ac:dyDescent="0.3">
      <c r="C30" s="19"/>
      <c r="D30" s="34"/>
      <c r="E30" s="2"/>
      <c r="F30" s="2"/>
      <c r="G30" s="2"/>
      <c r="H30" s="18"/>
      <c r="I30" s="17"/>
      <c r="J30" s="5"/>
      <c r="K30" s="5"/>
      <c r="L30" s="6"/>
      <c r="M30" s="6"/>
      <c r="N30" s="56"/>
      <c r="O30" s="56"/>
      <c r="P30" s="56"/>
      <c r="Q30" s="56"/>
    </row>
    <row r="31" spans="1:19" ht="22.05" customHeight="1" x14ac:dyDescent="0.3">
      <c r="C31" s="19"/>
      <c r="D31" s="34"/>
      <c r="E31" s="2"/>
      <c r="F31" s="2"/>
      <c r="G31" s="2"/>
      <c r="H31" s="18"/>
      <c r="I31" s="17"/>
      <c r="J31" s="5"/>
      <c r="K31" s="5"/>
      <c r="L31" s="6"/>
      <c r="M31" s="6"/>
      <c r="N31" s="56"/>
      <c r="O31" s="56"/>
      <c r="P31" s="56"/>
      <c r="Q31" s="56"/>
    </row>
    <row r="32" spans="1:19"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217D-6453-4F6F-A542-136C424DF33A}">
  <sheetPr codeName="Tabelle10"/>
  <dimension ref="A1:U100"/>
  <sheetViews>
    <sheetView zoomScale="55" zoomScaleNormal="55" workbookViewId="0">
      <selection activeCell="F3" sqref="F3"/>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19" width="13.77734375" style="1" customWidth="1"/>
    <col min="22" max="16384" width="11.5546875" style="1"/>
  </cols>
  <sheetData>
    <row r="1" spans="1:21" ht="41.4" customHeight="1" thickBot="1" x14ac:dyDescent="0.35">
      <c r="A1" s="158" t="s">
        <v>70</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row>
    <row r="4" spans="1:21" ht="22.05" customHeight="1" x14ac:dyDescent="0.45">
      <c r="A4" s="16" t="s">
        <v>3</v>
      </c>
      <c r="B4" s="35">
        <v>0.1</v>
      </c>
      <c r="C4" s="49">
        <v>1</v>
      </c>
      <c r="D4" s="114">
        <v>43265.041666666664</v>
      </c>
      <c r="E4" s="51">
        <v>0.44269344008811495</v>
      </c>
      <c r="F4" s="17">
        <v>0</v>
      </c>
      <c r="G4" s="54">
        <v>10</v>
      </c>
      <c r="H4" s="54">
        <v>5</v>
      </c>
      <c r="I4" s="36">
        <v>0</v>
      </c>
      <c r="J4" s="36">
        <v>0</v>
      </c>
      <c r="K4" s="36">
        <v>0</v>
      </c>
      <c r="L4" s="53">
        <v>0</v>
      </c>
      <c r="M4" s="53">
        <v>0</v>
      </c>
      <c r="N4" s="130">
        <v>0</v>
      </c>
      <c r="O4" s="130">
        <v>0</v>
      </c>
      <c r="P4" s="56">
        <v>0</v>
      </c>
      <c r="Q4" s="56">
        <v>0</v>
      </c>
      <c r="R4" s="56">
        <v>0</v>
      </c>
      <c r="S4" s="56">
        <v>0</v>
      </c>
    </row>
    <row r="5" spans="1:21" ht="22.05" customHeight="1" x14ac:dyDescent="0.45">
      <c r="A5" s="16" t="s">
        <v>4</v>
      </c>
      <c r="B5" s="35">
        <v>5</v>
      </c>
      <c r="C5" s="19">
        <v>2</v>
      </c>
      <c r="D5" s="114">
        <v>43265.083333333336</v>
      </c>
      <c r="E5" s="18">
        <v>0.18639723793183788</v>
      </c>
      <c r="F5" s="17">
        <v>0</v>
      </c>
      <c r="G5" s="6">
        <v>10</v>
      </c>
      <c r="H5" s="6">
        <v>5</v>
      </c>
      <c r="I5" s="2">
        <v>0</v>
      </c>
      <c r="J5" s="2">
        <v>0</v>
      </c>
      <c r="K5" s="2">
        <v>0</v>
      </c>
      <c r="L5" s="5">
        <v>0</v>
      </c>
      <c r="M5" s="5">
        <v>0</v>
      </c>
      <c r="N5" s="130">
        <v>0</v>
      </c>
      <c r="O5" s="130">
        <v>0</v>
      </c>
      <c r="P5" s="56">
        <v>0</v>
      </c>
      <c r="Q5" s="56">
        <v>0</v>
      </c>
      <c r="R5" s="56">
        <v>0</v>
      </c>
      <c r="S5" s="56">
        <v>0</v>
      </c>
    </row>
    <row r="6" spans="1:21" ht="22.05" customHeight="1" x14ac:dyDescent="0.45">
      <c r="A6" s="16" t="s">
        <v>5</v>
      </c>
      <c r="B6" s="35">
        <v>0.5</v>
      </c>
      <c r="C6" s="19">
        <v>3</v>
      </c>
      <c r="D6" s="114">
        <v>43265.125</v>
      </c>
      <c r="E6" s="18">
        <v>0.25629620215627708</v>
      </c>
      <c r="F6" s="17">
        <v>0</v>
      </c>
      <c r="G6" s="6">
        <v>10</v>
      </c>
      <c r="H6" s="6">
        <v>5</v>
      </c>
      <c r="I6" s="2">
        <v>0</v>
      </c>
      <c r="J6" s="2">
        <v>0</v>
      </c>
      <c r="K6" s="2">
        <v>0</v>
      </c>
      <c r="L6" s="5">
        <v>0</v>
      </c>
      <c r="M6" s="5">
        <v>0</v>
      </c>
      <c r="N6" s="130">
        <v>0</v>
      </c>
      <c r="O6" s="130">
        <v>0</v>
      </c>
      <c r="P6" s="56">
        <v>0</v>
      </c>
      <c r="Q6" s="56">
        <v>0</v>
      </c>
      <c r="R6" s="56">
        <v>0</v>
      </c>
      <c r="S6" s="56">
        <v>0</v>
      </c>
    </row>
    <row r="7" spans="1:21" ht="22.05" customHeight="1" x14ac:dyDescent="0.45">
      <c r="A7" s="16" t="s">
        <v>6</v>
      </c>
      <c r="B7" s="35">
        <v>20</v>
      </c>
      <c r="C7" s="19">
        <v>4</v>
      </c>
      <c r="D7" s="114">
        <v>43265.166666666664</v>
      </c>
      <c r="E7" s="18">
        <v>0.32619516638071633</v>
      </c>
      <c r="F7" s="17">
        <v>0</v>
      </c>
      <c r="G7" s="6">
        <v>10</v>
      </c>
      <c r="H7" s="6">
        <v>5</v>
      </c>
      <c r="I7" s="2">
        <v>0</v>
      </c>
      <c r="J7" s="2">
        <v>0</v>
      </c>
      <c r="K7" s="2">
        <v>0</v>
      </c>
      <c r="L7" s="5">
        <v>0</v>
      </c>
      <c r="M7" s="5">
        <v>0</v>
      </c>
      <c r="N7" s="130">
        <v>0</v>
      </c>
      <c r="O7" s="130">
        <v>0</v>
      </c>
      <c r="P7" s="56">
        <v>0</v>
      </c>
      <c r="Q7" s="56">
        <v>0</v>
      </c>
      <c r="R7" s="56">
        <v>0</v>
      </c>
      <c r="S7" s="56">
        <v>0</v>
      </c>
    </row>
    <row r="8" spans="1:21" ht="22.05" customHeight="1" x14ac:dyDescent="0.45">
      <c r="A8" s="16" t="s">
        <v>7</v>
      </c>
      <c r="B8" s="35">
        <v>1</v>
      </c>
      <c r="C8" s="19">
        <v>5</v>
      </c>
      <c r="D8" s="114">
        <v>43265.208333333336</v>
      </c>
      <c r="E8" s="18">
        <v>0.34949482112219604</v>
      </c>
      <c r="F8" s="17">
        <v>0</v>
      </c>
      <c r="G8" s="6">
        <v>10</v>
      </c>
      <c r="H8" s="6">
        <v>5</v>
      </c>
      <c r="I8" s="2">
        <v>0</v>
      </c>
      <c r="J8" s="2">
        <v>0</v>
      </c>
      <c r="K8" s="2">
        <v>0</v>
      </c>
      <c r="L8" s="5">
        <v>0</v>
      </c>
      <c r="M8" s="5">
        <v>0</v>
      </c>
      <c r="N8" s="130">
        <v>0</v>
      </c>
      <c r="O8" s="130">
        <v>0</v>
      </c>
      <c r="P8" s="56">
        <v>0</v>
      </c>
      <c r="Q8" s="56">
        <v>0</v>
      </c>
      <c r="R8" s="56">
        <v>0</v>
      </c>
      <c r="S8" s="56">
        <v>0</v>
      </c>
    </row>
    <row r="9" spans="1:21" ht="22.05" customHeight="1" x14ac:dyDescent="0.45">
      <c r="A9" s="16" t="s">
        <v>8</v>
      </c>
      <c r="B9" s="35">
        <v>20</v>
      </c>
      <c r="C9" s="19">
        <v>6</v>
      </c>
      <c r="D9" s="114">
        <v>43265.25</v>
      </c>
      <c r="E9" s="18">
        <v>0.76888860646883128</v>
      </c>
      <c r="F9" s="17">
        <v>0</v>
      </c>
      <c r="G9" s="6">
        <v>10</v>
      </c>
      <c r="H9" s="6">
        <v>5</v>
      </c>
      <c r="I9" s="2">
        <v>0</v>
      </c>
      <c r="J9" s="2">
        <v>0</v>
      </c>
      <c r="K9" s="2">
        <v>0</v>
      </c>
      <c r="L9" s="5">
        <v>0</v>
      </c>
      <c r="M9" s="5">
        <v>0</v>
      </c>
      <c r="N9" s="130">
        <v>0</v>
      </c>
      <c r="O9" s="130">
        <v>0</v>
      </c>
      <c r="P9" s="56">
        <v>0</v>
      </c>
      <c r="Q9" s="56">
        <v>0</v>
      </c>
      <c r="R9" s="56">
        <v>0</v>
      </c>
      <c r="S9" s="56">
        <v>0</v>
      </c>
    </row>
    <row r="10" spans="1:21" ht="22.05" customHeight="1" x14ac:dyDescent="0.45">
      <c r="A10" s="16" t="s">
        <v>31</v>
      </c>
      <c r="B10" s="35">
        <v>20</v>
      </c>
      <c r="C10" s="19">
        <v>7</v>
      </c>
      <c r="D10" s="114">
        <v>43265.291666666664</v>
      </c>
      <c r="E10" s="18">
        <v>2.050369617250217</v>
      </c>
      <c r="F10" s="17">
        <v>0.34358430540827151</v>
      </c>
      <c r="G10" s="6">
        <v>10</v>
      </c>
      <c r="H10" s="6">
        <v>5</v>
      </c>
      <c r="I10" s="2">
        <v>0</v>
      </c>
      <c r="J10" s="2">
        <v>0</v>
      </c>
      <c r="K10" s="2">
        <v>0</v>
      </c>
      <c r="L10" s="5">
        <v>0</v>
      </c>
      <c r="M10" s="5">
        <v>0</v>
      </c>
      <c r="N10" s="130">
        <v>0</v>
      </c>
      <c r="O10" s="130">
        <v>0</v>
      </c>
      <c r="P10" s="56">
        <v>0</v>
      </c>
      <c r="Q10" s="56">
        <v>0</v>
      </c>
      <c r="R10" s="56">
        <v>0</v>
      </c>
      <c r="S10" s="56">
        <v>0</v>
      </c>
    </row>
    <row r="11" spans="1:21" ht="22.05" customHeight="1" x14ac:dyDescent="0.45">
      <c r="A11" s="16" t="s">
        <v>9</v>
      </c>
      <c r="B11" s="35">
        <v>10</v>
      </c>
      <c r="C11" s="19">
        <v>8</v>
      </c>
      <c r="D11" s="114">
        <v>43265.333333333336</v>
      </c>
      <c r="E11" s="18">
        <v>2.4930630573383321</v>
      </c>
      <c r="F11" s="17">
        <v>2.1187698833510074</v>
      </c>
      <c r="G11" s="6">
        <v>10</v>
      </c>
      <c r="H11" s="6">
        <v>5</v>
      </c>
      <c r="I11" s="2">
        <v>0</v>
      </c>
      <c r="J11" s="2">
        <v>0</v>
      </c>
      <c r="K11" s="2">
        <v>0</v>
      </c>
      <c r="L11" s="5">
        <v>0</v>
      </c>
      <c r="M11" s="5">
        <v>0</v>
      </c>
      <c r="N11" s="130">
        <v>0</v>
      </c>
      <c r="O11" s="130">
        <v>0</v>
      </c>
      <c r="P11" s="56">
        <v>0</v>
      </c>
      <c r="Q11" s="56">
        <v>0</v>
      </c>
      <c r="R11" s="56">
        <v>0</v>
      </c>
      <c r="S11" s="56">
        <v>0</v>
      </c>
    </row>
    <row r="12" spans="1:21" ht="22.05" customHeight="1" x14ac:dyDescent="0.45">
      <c r="A12" s="16" t="s">
        <v>15</v>
      </c>
      <c r="B12" s="35">
        <v>10</v>
      </c>
      <c r="C12" s="19">
        <v>9</v>
      </c>
      <c r="D12" s="114">
        <v>43265.375</v>
      </c>
      <c r="E12" s="18">
        <v>2.2600665099235346</v>
      </c>
      <c r="F12" s="17">
        <v>3.6648992576882296</v>
      </c>
      <c r="G12" s="6">
        <v>10</v>
      </c>
      <c r="H12" s="6">
        <v>5</v>
      </c>
      <c r="I12" s="2">
        <v>0</v>
      </c>
      <c r="J12" s="2">
        <v>0</v>
      </c>
      <c r="K12" s="2">
        <v>0</v>
      </c>
      <c r="L12" s="5">
        <v>0</v>
      </c>
      <c r="M12" s="5">
        <v>0</v>
      </c>
      <c r="N12" s="130">
        <v>0</v>
      </c>
      <c r="O12" s="130">
        <v>0</v>
      </c>
      <c r="P12" s="56">
        <v>0</v>
      </c>
      <c r="Q12" s="56">
        <v>0</v>
      </c>
      <c r="R12" s="56">
        <v>0</v>
      </c>
      <c r="S12" s="56">
        <v>0</v>
      </c>
    </row>
    <row r="13" spans="1:21" ht="22.05" customHeight="1" x14ac:dyDescent="0.45">
      <c r="A13" s="16" t="s">
        <v>32</v>
      </c>
      <c r="B13" s="35">
        <v>24</v>
      </c>
      <c r="C13" s="19">
        <v>10</v>
      </c>
      <c r="D13" s="114">
        <v>43265.416666666664</v>
      </c>
      <c r="E13" s="18">
        <v>1.9571709982842982</v>
      </c>
      <c r="F13" s="17">
        <v>5.4400848356309659</v>
      </c>
      <c r="G13" s="6">
        <v>10</v>
      </c>
      <c r="H13" s="6">
        <v>5</v>
      </c>
      <c r="I13" s="2">
        <v>0</v>
      </c>
      <c r="J13" s="2">
        <v>0</v>
      </c>
      <c r="K13" s="2">
        <v>0</v>
      </c>
      <c r="L13" s="5">
        <v>0</v>
      </c>
      <c r="M13" s="5">
        <v>0</v>
      </c>
      <c r="N13" s="130">
        <v>0</v>
      </c>
      <c r="O13" s="130">
        <v>0</v>
      </c>
      <c r="P13" s="56">
        <v>0</v>
      </c>
      <c r="Q13" s="56">
        <v>0</v>
      </c>
      <c r="R13" s="56">
        <v>0</v>
      </c>
      <c r="S13" s="56">
        <v>0</v>
      </c>
    </row>
    <row r="14" spans="1:21" ht="22.05" customHeight="1" x14ac:dyDescent="0.45">
      <c r="A14" s="128" t="s">
        <v>10</v>
      </c>
      <c r="B14" s="129"/>
      <c r="C14" s="19">
        <v>11</v>
      </c>
      <c r="D14" s="114">
        <v>43265.458333333336</v>
      </c>
      <c r="E14" s="18">
        <v>2.0969689267331764</v>
      </c>
      <c r="F14" s="17">
        <v>6.3563096500530225</v>
      </c>
      <c r="G14" s="6">
        <v>10</v>
      </c>
      <c r="H14" s="6">
        <v>5</v>
      </c>
      <c r="I14" s="2">
        <v>0</v>
      </c>
      <c r="J14" s="2">
        <v>0</v>
      </c>
      <c r="K14" s="2">
        <v>0</v>
      </c>
      <c r="L14" s="5">
        <v>0</v>
      </c>
      <c r="M14" s="5">
        <v>0</v>
      </c>
      <c r="N14" s="130">
        <v>0</v>
      </c>
      <c r="O14" s="130">
        <v>0</v>
      </c>
      <c r="P14" s="56">
        <v>0</v>
      </c>
      <c r="Q14" s="56">
        <v>0</v>
      </c>
      <c r="R14" s="56">
        <v>0</v>
      </c>
      <c r="S14" s="56">
        <v>0</v>
      </c>
    </row>
    <row r="15" spans="1:21" ht="22.05" customHeight="1" x14ac:dyDescent="0.45">
      <c r="A15" s="164">
        <v>0</v>
      </c>
      <c r="B15" s="165"/>
      <c r="C15" s="19">
        <v>12</v>
      </c>
      <c r="D15" s="114">
        <v>43265.5</v>
      </c>
      <c r="E15" s="18">
        <v>2.399864438372413</v>
      </c>
      <c r="F15" s="17">
        <v>7.0434782608695663</v>
      </c>
      <c r="G15" s="6">
        <v>10</v>
      </c>
      <c r="H15" s="6">
        <v>5</v>
      </c>
      <c r="I15" s="2">
        <v>0</v>
      </c>
      <c r="J15" s="2">
        <v>0</v>
      </c>
      <c r="K15" s="2">
        <v>0</v>
      </c>
      <c r="L15" s="5">
        <v>0</v>
      </c>
      <c r="M15" s="5">
        <v>0</v>
      </c>
      <c r="N15" s="130">
        <v>0</v>
      </c>
      <c r="O15" s="130">
        <v>0</v>
      </c>
      <c r="P15" s="56">
        <v>0</v>
      </c>
      <c r="Q15" s="56">
        <v>0</v>
      </c>
      <c r="R15" s="56">
        <v>0</v>
      </c>
      <c r="S15" s="56">
        <v>0</v>
      </c>
    </row>
    <row r="16" spans="1:21" ht="22.05" customHeight="1" x14ac:dyDescent="0.45">
      <c r="A16" s="164">
        <v>0</v>
      </c>
      <c r="B16" s="165"/>
      <c r="C16" s="19">
        <v>13</v>
      </c>
      <c r="D16" s="114">
        <v>43265.541666666664</v>
      </c>
      <c r="E16" s="18">
        <v>2.7959585689775683</v>
      </c>
      <c r="F16" s="17">
        <v>5.5546129374337223</v>
      </c>
      <c r="G16" s="6">
        <v>10</v>
      </c>
      <c r="H16" s="6">
        <v>5</v>
      </c>
      <c r="I16" s="2">
        <v>0</v>
      </c>
      <c r="J16" s="2">
        <v>0</v>
      </c>
      <c r="K16" s="2">
        <v>0</v>
      </c>
      <c r="L16" s="5">
        <v>0</v>
      </c>
      <c r="M16" s="5">
        <v>0</v>
      </c>
      <c r="N16" s="130">
        <v>0</v>
      </c>
      <c r="O16" s="130">
        <v>0</v>
      </c>
      <c r="P16" s="56">
        <v>0</v>
      </c>
      <c r="Q16" s="56">
        <v>0</v>
      </c>
      <c r="R16" s="56">
        <v>0</v>
      </c>
      <c r="S16" s="56">
        <v>0</v>
      </c>
    </row>
    <row r="17" spans="1:19" ht="22.05" customHeight="1" x14ac:dyDescent="0.3">
      <c r="A17" s="8"/>
      <c r="B17" s="8"/>
      <c r="C17" s="19">
        <v>14</v>
      </c>
      <c r="D17" s="114">
        <v>43265.583333333336</v>
      </c>
      <c r="E17" s="18">
        <v>2.3765647836309332</v>
      </c>
      <c r="F17" s="17">
        <v>4.9819724284199367</v>
      </c>
      <c r="G17" s="6">
        <v>10</v>
      </c>
      <c r="H17" s="6">
        <v>5</v>
      </c>
      <c r="I17" s="2">
        <v>0</v>
      </c>
      <c r="J17" s="2">
        <v>0</v>
      </c>
      <c r="K17" s="2">
        <v>0</v>
      </c>
      <c r="L17" s="5">
        <v>0</v>
      </c>
      <c r="M17" s="5">
        <v>0</v>
      </c>
      <c r="N17" s="130">
        <v>0</v>
      </c>
      <c r="O17" s="130">
        <v>0</v>
      </c>
      <c r="P17" s="56">
        <v>0</v>
      </c>
      <c r="Q17" s="56">
        <v>0</v>
      </c>
      <c r="R17" s="56">
        <v>0</v>
      </c>
      <c r="S17" s="56">
        <v>0</v>
      </c>
    </row>
    <row r="18" spans="1:19" ht="22.05" customHeight="1" x14ac:dyDescent="0.3">
      <c r="A18" s="8"/>
      <c r="B18" s="8"/>
      <c r="C18" s="19">
        <v>15</v>
      </c>
      <c r="D18" s="114">
        <v>43265.625</v>
      </c>
      <c r="E18" s="18">
        <v>2.1901675456990954</v>
      </c>
      <c r="F18" s="17">
        <v>4.5238600212089084</v>
      </c>
      <c r="G18" s="6">
        <v>10</v>
      </c>
      <c r="H18" s="6">
        <v>5</v>
      </c>
      <c r="I18" s="2">
        <v>0</v>
      </c>
      <c r="J18" s="2">
        <v>0</v>
      </c>
      <c r="K18" s="2">
        <v>0</v>
      </c>
      <c r="L18" s="5">
        <v>0</v>
      </c>
      <c r="M18" s="5">
        <v>0</v>
      </c>
      <c r="N18" s="130">
        <v>0</v>
      </c>
      <c r="O18" s="130">
        <v>0</v>
      </c>
      <c r="P18" s="56">
        <v>0</v>
      </c>
      <c r="Q18" s="56">
        <v>0</v>
      </c>
      <c r="R18" s="56">
        <v>0</v>
      </c>
      <c r="S18" s="56">
        <v>0</v>
      </c>
    </row>
    <row r="19" spans="1:19" ht="22.05" customHeight="1" x14ac:dyDescent="0.45">
      <c r="A19" s="157"/>
      <c r="B19" s="157"/>
      <c r="C19" s="19">
        <v>16</v>
      </c>
      <c r="D19" s="114">
        <v>43265.666666666664</v>
      </c>
      <c r="E19" s="18">
        <v>2.399864438372413</v>
      </c>
      <c r="F19" s="17">
        <v>4.695652173913043</v>
      </c>
      <c r="G19" s="6">
        <v>10</v>
      </c>
      <c r="H19" s="6">
        <v>5</v>
      </c>
      <c r="I19" s="2">
        <v>0</v>
      </c>
      <c r="J19" s="2">
        <v>0</v>
      </c>
      <c r="K19" s="2">
        <v>0</v>
      </c>
      <c r="L19" s="5">
        <v>0</v>
      </c>
      <c r="M19" s="5">
        <v>0</v>
      </c>
      <c r="N19" s="130">
        <v>0</v>
      </c>
      <c r="O19" s="130">
        <v>0</v>
      </c>
      <c r="P19" s="56">
        <v>0</v>
      </c>
      <c r="Q19" s="56">
        <v>0</v>
      </c>
      <c r="R19" s="56">
        <v>0</v>
      </c>
      <c r="S19" s="56">
        <v>0</v>
      </c>
    </row>
    <row r="20" spans="1:19" ht="22.05" customHeight="1" x14ac:dyDescent="0.3">
      <c r="A20" s="9"/>
      <c r="B20" s="9"/>
      <c r="C20" s="19">
        <v>17</v>
      </c>
      <c r="D20" s="114">
        <v>43265.708333333336</v>
      </c>
      <c r="E20" s="18">
        <v>2.0969689267331764</v>
      </c>
      <c r="F20" s="17">
        <v>3.7221633085896082</v>
      </c>
      <c r="G20" s="6">
        <v>10</v>
      </c>
      <c r="H20" s="6">
        <v>5</v>
      </c>
      <c r="I20" s="2">
        <v>0</v>
      </c>
      <c r="J20" s="2">
        <v>0</v>
      </c>
      <c r="K20" s="2">
        <v>0</v>
      </c>
      <c r="L20" s="5">
        <v>0</v>
      </c>
      <c r="M20" s="5">
        <v>0</v>
      </c>
      <c r="N20" s="130">
        <v>0</v>
      </c>
      <c r="O20" s="130">
        <v>0</v>
      </c>
      <c r="P20" s="56">
        <v>0</v>
      </c>
      <c r="Q20" s="56">
        <v>0</v>
      </c>
      <c r="R20" s="56">
        <v>0</v>
      </c>
      <c r="S20" s="56">
        <v>0</v>
      </c>
    </row>
    <row r="21" spans="1:19" ht="22.05" customHeight="1" x14ac:dyDescent="0.3">
      <c r="C21" s="19">
        <v>18</v>
      </c>
      <c r="D21" s="114">
        <v>43265.75</v>
      </c>
      <c r="E21" s="18">
        <v>1.8639723793183789</v>
      </c>
      <c r="F21" s="17">
        <v>3.1495227995758222</v>
      </c>
      <c r="G21" s="6">
        <v>10</v>
      </c>
      <c r="H21" s="6">
        <v>5</v>
      </c>
      <c r="I21" s="2">
        <v>0</v>
      </c>
      <c r="J21" s="2">
        <v>0</v>
      </c>
      <c r="K21" s="2">
        <v>0</v>
      </c>
      <c r="L21" s="5">
        <v>0</v>
      </c>
      <c r="M21" s="5">
        <v>0</v>
      </c>
      <c r="N21" s="130">
        <v>0</v>
      </c>
      <c r="O21" s="130">
        <v>0</v>
      </c>
      <c r="P21" s="56">
        <v>0</v>
      </c>
      <c r="Q21" s="56">
        <v>0</v>
      </c>
      <c r="R21" s="56">
        <v>0</v>
      </c>
      <c r="S21" s="56">
        <v>0</v>
      </c>
    </row>
    <row r="22" spans="1:19" ht="22.05" customHeight="1" x14ac:dyDescent="0.3">
      <c r="C22" s="19">
        <v>19</v>
      </c>
      <c r="D22" s="114">
        <v>43265.791666666664</v>
      </c>
      <c r="E22" s="18">
        <v>3.2153523543242035</v>
      </c>
      <c r="F22" s="17">
        <v>1.8324496288441148</v>
      </c>
      <c r="G22" s="6">
        <v>10</v>
      </c>
      <c r="H22" s="6">
        <v>5</v>
      </c>
      <c r="I22" s="2">
        <v>0</v>
      </c>
      <c r="J22" s="2">
        <v>0</v>
      </c>
      <c r="K22" s="2">
        <v>0</v>
      </c>
      <c r="L22" s="5">
        <v>0</v>
      </c>
      <c r="M22" s="5">
        <v>0</v>
      </c>
      <c r="N22" s="130">
        <v>0</v>
      </c>
      <c r="O22" s="130">
        <v>0</v>
      </c>
      <c r="P22" s="56">
        <v>0</v>
      </c>
      <c r="Q22" s="56">
        <v>0</v>
      </c>
      <c r="R22" s="56">
        <v>0</v>
      </c>
      <c r="S22" s="56">
        <v>0</v>
      </c>
    </row>
    <row r="23" spans="1:19" ht="22.05" customHeight="1" x14ac:dyDescent="0.3">
      <c r="C23" s="19">
        <v>20</v>
      </c>
      <c r="D23" s="114">
        <v>43265.833333333336</v>
      </c>
      <c r="E23" s="18">
        <v>2.3765647836309332</v>
      </c>
      <c r="F23" s="17">
        <v>0.57264050901378583</v>
      </c>
      <c r="G23" s="6">
        <v>10</v>
      </c>
      <c r="H23" s="6">
        <v>5</v>
      </c>
      <c r="I23" s="2">
        <v>0</v>
      </c>
      <c r="J23" s="2">
        <v>0</v>
      </c>
      <c r="K23" s="2">
        <v>0</v>
      </c>
      <c r="L23" s="5">
        <v>0</v>
      </c>
      <c r="M23" s="5">
        <v>0</v>
      </c>
      <c r="N23" s="130">
        <v>0</v>
      </c>
      <c r="O23" s="130">
        <v>0</v>
      </c>
      <c r="P23" s="56">
        <v>0</v>
      </c>
      <c r="Q23" s="56">
        <v>0</v>
      </c>
      <c r="R23" s="56">
        <v>0</v>
      </c>
      <c r="S23" s="56">
        <v>0</v>
      </c>
    </row>
    <row r="24" spans="1:19" ht="22.05" customHeight="1" x14ac:dyDescent="0.3">
      <c r="C24" s="19">
        <v>21</v>
      </c>
      <c r="D24" s="114">
        <v>43265.875</v>
      </c>
      <c r="E24" s="18">
        <v>2.6328609857872101</v>
      </c>
      <c r="F24" s="17">
        <v>0</v>
      </c>
      <c r="G24" s="6">
        <v>10</v>
      </c>
      <c r="H24" s="6">
        <v>5</v>
      </c>
      <c r="I24" s="2">
        <v>0</v>
      </c>
      <c r="J24" s="2">
        <v>0</v>
      </c>
      <c r="K24" s="2">
        <v>0</v>
      </c>
      <c r="L24" s="5">
        <v>0</v>
      </c>
      <c r="M24" s="5">
        <v>0</v>
      </c>
      <c r="N24" s="130">
        <v>0</v>
      </c>
      <c r="O24" s="130">
        <v>0</v>
      </c>
      <c r="P24" s="56">
        <v>0</v>
      </c>
      <c r="Q24" s="56">
        <v>0</v>
      </c>
      <c r="R24" s="56">
        <v>0</v>
      </c>
      <c r="S24" s="56">
        <v>0</v>
      </c>
    </row>
    <row r="25" spans="1:19" ht="22.05" customHeight="1" x14ac:dyDescent="0.3">
      <c r="C25" s="19">
        <v>22</v>
      </c>
      <c r="D25" s="114">
        <v>43265.916666666664</v>
      </c>
      <c r="E25" s="18">
        <v>3.155705238186016</v>
      </c>
      <c r="F25" s="17">
        <v>0</v>
      </c>
      <c r="G25" s="6">
        <v>10</v>
      </c>
      <c r="H25" s="6">
        <v>5</v>
      </c>
      <c r="I25" s="2">
        <v>0</v>
      </c>
      <c r="J25" s="2">
        <v>0</v>
      </c>
      <c r="K25" s="2">
        <v>0</v>
      </c>
      <c r="L25" s="5">
        <v>0</v>
      </c>
      <c r="M25" s="5">
        <v>0</v>
      </c>
      <c r="N25" s="130">
        <v>0</v>
      </c>
      <c r="O25" s="130">
        <v>0</v>
      </c>
      <c r="P25" s="56">
        <v>0</v>
      </c>
      <c r="Q25" s="56">
        <v>0</v>
      </c>
      <c r="R25" s="56">
        <v>0</v>
      </c>
      <c r="S25" s="56">
        <v>0</v>
      </c>
    </row>
    <row r="26" spans="1:19" ht="22.05" customHeight="1" x14ac:dyDescent="0.3">
      <c r="C26" s="19">
        <v>23</v>
      </c>
      <c r="D26" s="114">
        <v>43265.958333333336</v>
      </c>
      <c r="E26" s="18">
        <v>2.2134672004405753</v>
      </c>
      <c r="F26" s="17">
        <v>0</v>
      </c>
      <c r="G26" s="6">
        <v>10</v>
      </c>
      <c r="H26" s="6">
        <v>5</v>
      </c>
      <c r="I26" s="2">
        <v>0</v>
      </c>
      <c r="J26" s="2">
        <v>0</v>
      </c>
      <c r="K26" s="2">
        <v>0</v>
      </c>
      <c r="L26" s="5">
        <v>0</v>
      </c>
      <c r="M26" s="5">
        <v>0</v>
      </c>
      <c r="N26" s="130">
        <v>0</v>
      </c>
      <c r="O26" s="130">
        <v>0</v>
      </c>
      <c r="P26" s="56">
        <v>0</v>
      </c>
      <c r="Q26" s="56">
        <v>0</v>
      </c>
      <c r="R26" s="56">
        <v>0</v>
      </c>
      <c r="S26" s="56">
        <v>0</v>
      </c>
    </row>
    <row r="27" spans="1:19" ht="22.05" customHeight="1" x14ac:dyDescent="0.3">
      <c r="C27" s="19">
        <v>24</v>
      </c>
      <c r="D27" s="114">
        <v>43266</v>
      </c>
      <c r="E27" s="18">
        <v>1.0950837728495473</v>
      </c>
      <c r="F27" s="17">
        <v>0</v>
      </c>
      <c r="G27" s="6">
        <v>10</v>
      </c>
      <c r="H27" s="6">
        <v>5</v>
      </c>
      <c r="I27" s="2">
        <v>0</v>
      </c>
      <c r="J27" s="2">
        <v>0</v>
      </c>
      <c r="K27" s="2">
        <v>0</v>
      </c>
      <c r="L27" s="5">
        <v>0</v>
      </c>
      <c r="M27" s="5">
        <v>0</v>
      </c>
      <c r="N27" s="130">
        <v>0</v>
      </c>
      <c r="O27" s="130">
        <v>0</v>
      </c>
      <c r="P27" s="56">
        <v>0</v>
      </c>
      <c r="Q27" s="56">
        <v>0</v>
      </c>
      <c r="R27" s="56">
        <v>0</v>
      </c>
      <c r="S27" s="56">
        <v>0</v>
      </c>
    </row>
    <row r="28" spans="1:19" ht="22.05" customHeight="1" x14ac:dyDescent="0.3">
      <c r="C28" s="19"/>
      <c r="D28" s="34"/>
      <c r="E28" s="2"/>
      <c r="F28" s="2"/>
      <c r="G28" s="2"/>
      <c r="H28" s="18"/>
      <c r="I28" s="17"/>
      <c r="J28" s="5"/>
      <c r="K28" s="5"/>
      <c r="L28" s="6"/>
      <c r="M28" s="6"/>
      <c r="N28" s="56"/>
      <c r="O28" s="56"/>
      <c r="P28" s="56"/>
      <c r="Q28" s="56"/>
    </row>
    <row r="29" spans="1:19" ht="22.05" customHeight="1" x14ac:dyDescent="0.3">
      <c r="C29" s="19"/>
      <c r="D29" s="34"/>
      <c r="E29" s="2"/>
      <c r="F29" s="2"/>
      <c r="G29" s="2"/>
      <c r="H29" s="18"/>
      <c r="I29" s="17"/>
      <c r="J29" s="5"/>
      <c r="K29" s="5"/>
      <c r="L29" s="6"/>
      <c r="M29" s="6"/>
      <c r="N29" s="56"/>
      <c r="O29" s="56"/>
      <c r="P29" s="56"/>
      <c r="Q29" s="56"/>
    </row>
    <row r="30" spans="1:19" ht="22.05" customHeight="1" x14ac:dyDescent="0.3">
      <c r="C30" s="19"/>
      <c r="D30" s="34"/>
      <c r="E30" s="2"/>
      <c r="F30" s="2"/>
      <c r="G30" s="2"/>
      <c r="H30" s="18"/>
      <c r="I30" s="17"/>
      <c r="J30" s="5"/>
      <c r="K30" s="5"/>
      <c r="L30" s="6"/>
      <c r="M30" s="6"/>
      <c r="N30" s="56"/>
      <c r="O30" s="56"/>
      <c r="P30" s="56"/>
      <c r="Q30" s="56"/>
    </row>
    <row r="31" spans="1:19" ht="22.05" customHeight="1" x14ac:dyDescent="0.3">
      <c r="C31" s="19"/>
      <c r="D31" s="34"/>
      <c r="E31" s="2"/>
      <c r="F31" s="2"/>
      <c r="G31" s="2"/>
      <c r="H31" s="18"/>
      <c r="I31" s="17"/>
      <c r="J31" s="5"/>
      <c r="K31" s="5"/>
      <c r="L31" s="6"/>
      <c r="M31" s="6"/>
      <c r="N31" s="56"/>
      <c r="O31" s="56"/>
      <c r="P31" s="56"/>
      <c r="Q31" s="56"/>
    </row>
    <row r="32" spans="1:19"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4B4D5-49C1-42D9-86F3-0485BE89092A}">
  <sheetPr codeName="Tabelle11"/>
  <dimension ref="A1:U100"/>
  <sheetViews>
    <sheetView zoomScale="55" zoomScaleNormal="55" workbookViewId="0">
      <selection activeCell="F3" sqref="F3"/>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19" width="13.77734375" style="1" customWidth="1"/>
    <col min="22" max="16384" width="11.5546875" style="1"/>
  </cols>
  <sheetData>
    <row r="1" spans="1:21" ht="41.4" customHeight="1" thickBot="1" x14ac:dyDescent="0.35">
      <c r="A1" s="158" t="s">
        <v>71</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row>
    <row r="4" spans="1:21" ht="22.05" customHeight="1" x14ac:dyDescent="0.45">
      <c r="A4" s="16" t="s">
        <v>3</v>
      </c>
      <c r="B4" s="35">
        <v>0.1</v>
      </c>
      <c r="C4" s="49">
        <v>1</v>
      </c>
      <c r="D4" s="114">
        <v>43265.041666666664</v>
      </c>
      <c r="E4" s="51">
        <v>4.5650195058517564</v>
      </c>
      <c r="F4" s="17">
        <v>0</v>
      </c>
      <c r="G4" s="54">
        <v>10</v>
      </c>
      <c r="H4" s="54">
        <v>5</v>
      </c>
      <c r="I4" s="36">
        <v>0</v>
      </c>
      <c r="J4" s="36">
        <v>0</v>
      </c>
      <c r="K4" s="36">
        <v>0</v>
      </c>
      <c r="L4" s="53">
        <v>0</v>
      </c>
      <c r="M4" s="53">
        <v>0</v>
      </c>
      <c r="N4" s="130">
        <v>0</v>
      </c>
      <c r="O4" s="130">
        <v>0</v>
      </c>
      <c r="P4" s="56">
        <v>0</v>
      </c>
      <c r="Q4" s="56">
        <v>0</v>
      </c>
      <c r="R4" s="56">
        <v>0</v>
      </c>
      <c r="S4" s="56">
        <v>0</v>
      </c>
    </row>
    <row r="5" spans="1:21" ht="22.05" customHeight="1" x14ac:dyDescent="0.45">
      <c r="A5" s="16" t="s">
        <v>4</v>
      </c>
      <c r="B5" s="35">
        <v>5</v>
      </c>
      <c r="C5" s="19">
        <v>2</v>
      </c>
      <c r="D5" s="114">
        <v>43265.083333333336</v>
      </c>
      <c r="E5" s="18">
        <v>4.642392717815345</v>
      </c>
      <c r="F5" s="17">
        <v>0</v>
      </c>
      <c r="G5" s="6">
        <v>10</v>
      </c>
      <c r="H5" s="6">
        <v>5</v>
      </c>
      <c r="I5" s="2">
        <v>0</v>
      </c>
      <c r="J5" s="2">
        <v>0</v>
      </c>
      <c r="K5" s="2">
        <v>0</v>
      </c>
      <c r="L5" s="5">
        <v>0</v>
      </c>
      <c r="M5" s="5">
        <v>0</v>
      </c>
      <c r="N5" s="130">
        <v>0</v>
      </c>
      <c r="O5" s="130">
        <v>0</v>
      </c>
      <c r="P5" s="56">
        <v>0</v>
      </c>
      <c r="Q5" s="56">
        <v>0</v>
      </c>
      <c r="R5" s="56">
        <v>0</v>
      </c>
      <c r="S5" s="56">
        <v>0</v>
      </c>
    </row>
    <row r="6" spans="1:21" ht="22.05" customHeight="1" x14ac:dyDescent="0.45">
      <c r="A6" s="16" t="s">
        <v>5</v>
      </c>
      <c r="B6" s="35">
        <v>0.5</v>
      </c>
      <c r="C6" s="19">
        <v>3</v>
      </c>
      <c r="D6" s="114">
        <v>43265.125</v>
      </c>
      <c r="E6" s="18">
        <v>3.0949284785435633</v>
      </c>
      <c r="F6" s="17">
        <v>0</v>
      </c>
      <c r="G6" s="6">
        <v>10</v>
      </c>
      <c r="H6" s="6">
        <v>5</v>
      </c>
      <c r="I6" s="2">
        <v>0</v>
      </c>
      <c r="J6" s="2">
        <v>0</v>
      </c>
      <c r="K6" s="2">
        <v>0</v>
      </c>
      <c r="L6" s="5">
        <v>0</v>
      </c>
      <c r="M6" s="5">
        <v>0</v>
      </c>
      <c r="N6" s="130">
        <v>0</v>
      </c>
      <c r="O6" s="130">
        <v>0</v>
      </c>
      <c r="P6" s="56">
        <v>0</v>
      </c>
      <c r="Q6" s="56">
        <v>0</v>
      </c>
      <c r="R6" s="56">
        <v>0</v>
      </c>
      <c r="S6" s="56">
        <v>0</v>
      </c>
    </row>
    <row r="7" spans="1:21" ht="22.05" customHeight="1" x14ac:dyDescent="0.45">
      <c r="A7" s="16" t="s">
        <v>6</v>
      </c>
      <c r="B7" s="35">
        <v>20</v>
      </c>
      <c r="C7" s="19">
        <v>4</v>
      </c>
      <c r="D7" s="114">
        <v>43265.166666666664</v>
      </c>
      <c r="E7" s="18">
        <v>2.0117035110533164</v>
      </c>
      <c r="F7" s="17">
        <v>0</v>
      </c>
      <c r="G7" s="6">
        <v>10</v>
      </c>
      <c r="H7" s="6">
        <v>5</v>
      </c>
      <c r="I7" s="2">
        <v>0</v>
      </c>
      <c r="J7" s="2">
        <v>0</v>
      </c>
      <c r="K7" s="2">
        <v>0</v>
      </c>
      <c r="L7" s="5">
        <v>0</v>
      </c>
      <c r="M7" s="5">
        <v>0</v>
      </c>
      <c r="N7" s="130">
        <v>0</v>
      </c>
      <c r="O7" s="130">
        <v>0</v>
      </c>
      <c r="P7" s="56">
        <v>0</v>
      </c>
      <c r="Q7" s="56">
        <v>0</v>
      </c>
      <c r="R7" s="56">
        <v>0</v>
      </c>
      <c r="S7" s="56">
        <v>0</v>
      </c>
    </row>
    <row r="8" spans="1:21" ht="22.05" customHeight="1" x14ac:dyDescent="0.45">
      <c r="A8" s="16" t="s">
        <v>7</v>
      </c>
      <c r="B8" s="35">
        <v>1</v>
      </c>
      <c r="C8" s="19">
        <v>5</v>
      </c>
      <c r="D8" s="114">
        <v>43265.208333333336</v>
      </c>
      <c r="E8" s="18">
        <v>1.5474642392717817</v>
      </c>
      <c r="F8" s="17">
        <v>0</v>
      </c>
      <c r="G8" s="6">
        <v>10</v>
      </c>
      <c r="H8" s="6">
        <v>5</v>
      </c>
      <c r="I8" s="2">
        <v>0</v>
      </c>
      <c r="J8" s="2">
        <v>0</v>
      </c>
      <c r="K8" s="2">
        <v>0</v>
      </c>
      <c r="L8" s="5">
        <v>0</v>
      </c>
      <c r="M8" s="5">
        <v>0</v>
      </c>
      <c r="N8" s="130">
        <v>0</v>
      </c>
      <c r="O8" s="130">
        <v>0</v>
      </c>
      <c r="P8" s="56">
        <v>0</v>
      </c>
      <c r="Q8" s="56">
        <v>0</v>
      </c>
      <c r="R8" s="56">
        <v>0</v>
      </c>
      <c r="S8" s="56">
        <v>0</v>
      </c>
    </row>
    <row r="9" spans="1:21" ht="22.05" customHeight="1" x14ac:dyDescent="0.45">
      <c r="A9" s="16" t="s">
        <v>8</v>
      </c>
      <c r="B9" s="35">
        <v>20</v>
      </c>
      <c r="C9" s="19">
        <v>6</v>
      </c>
      <c r="D9" s="114">
        <v>43265.25</v>
      </c>
      <c r="E9" s="18">
        <v>2.3211963589076725</v>
      </c>
      <c r="F9" s="17">
        <v>0</v>
      </c>
      <c r="G9" s="6">
        <v>10</v>
      </c>
      <c r="H9" s="6">
        <v>5</v>
      </c>
      <c r="I9" s="2">
        <v>0</v>
      </c>
      <c r="J9" s="2">
        <v>0</v>
      </c>
      <c r="K9" s="2">
        <v>0</v>
      </c>
      <c r="L9" s="5">
        <v>0</v>
      </c>
      <c r="M9" s="5">
        <v>0</v>
      </c>
      <c r="N9" s="130">
        <v>0</v>
      </c>
      <c r="O9" s="130">
        <v>0</v>
      </c>
      <c r="P9" s="56">
        <v>0</v>
      </c>
      <c r="Q9" s="56">
        <v>0</v>
      </c>
      <c r="R9" s="56">
        <v>0</v>
      </c>
      <c r="S9" s="56">
        <v>0</v>
      </c>
    </row>
    <row r="10" spans="1:21" ht="22.05" customHeight="1" x14ac:dyDescent="0.45">
      <c r="A10" s="16" t="s">
        <v>31</v>
      </c>
      <c r="B10" s="35">
        <v>20</v>
      </c>
      <c r="C10" s="19">
        <v>7</v>
      </c>
      <c r="D10" s="114">
        <v>43265.291666666664</v>
      </c>
      <c r="E10" s="18">
        <v>1.5474642392717819</v>
      </c>
      <c r="F10" s="17">
        <v>0</v>
      </c>
      <c r="G10" s="6">
        <v>10</v>
      </c>
      <c r="H10" s="6">
        <v>5</v>
      </c>
      <c r="I10" s="2">
        <v>0</v>
      </c>
      <c r="J10" s="2">
        <v>0</v>
      </c>
      <c r="K10" s="2">
        <v>0</v>
      </c>
      <c r="L10" s="5">
        <v>0</v>
      </c>
      <c r="M10" s="5">
        <v>0</v>
      </c>
      <c r="N10" s="130">
        <v>0</v>
      </c>
      <c r="O10" s="130">
        <v>0</v>
      </c>
      <c r="P10" s="56">
        <v>0</v>
      </c>
      <c r="Q10" s="56">
        <v>0</v>
      </c>
      <c r="R10" s="56">
        <v>0</v>
      </c>
      <c r="S10" s="56">
        <v>0</v>
      </c>
    </row>
    <row r="11" spans="1:21" ht="22.05" customHeight="1" x14ac:dyDescent="0.45">
      <c r="A11" s="16" t="s">
        <v>9</v>
      </c>
      <c r="B11" s="35">
        <v>10</v>
      </c>
      <c r="C11" s="19">
        <v>8</v>
      </c>
      <c r="D11" s="114">
        <v>43265.333333333336</v>
      </c>
      <c r="E11" s="18">
        <v>1.0357178153446034</v>
      </c>
      <c r="F11" s="17">
        <v>1.1675126903553299</v>
      </c>
      <c r="G11" s="6">
        <v>10</v>
      </c>
      <c r="H11" s="6">
        <v>5</v>
      </c>
      <c r="I11" s="2">
        <v>0</v>
      </c>
      <c r="J11" s="2">
        <v>0</v>
      </c>
      <c r="K11" s="2">
        <v>0</v>
      </c>
      <c r="L11" s="5">
        <v>0</v>
      </c>
      <c r="M11" s="5">
        <v>0</v>
      </c>
      <c r="N11" s="130">
        <v>0</v>
      </c>
      <c r="O11" s="130">
        <v>0</v>
      </c>
      <c r="P11" s="56">
        <v>0</v>
      </c>
      <c r="Q11" s="56">
        <v>0</v>
      </c>
      <c r="R11" s="56">
        <v>0</v>
      </c>
      <c r="S11" s="56">
        <v>0</v>
      </c>
    </row>
    <row r="12" spans="1:21" ht="22.05" customHeight="1" x14ac:dyDescent="0.45">
      <c r="A12" s="16" t="s">
        <v>15</v>
      </c>
      <c r="B12" s="35">
        <v>10</v>
      </c>
      <c r="C12" s="19">
        <v>9</v>
      </c>
      <c r="D12" s="114">
        <v>43265.375</v>
      </c>
      <c r="E12" s="18">
        <v>3.2379141742522761</v>
      </c>
      <c r="F12" s="17">
        <v>6.4213197969543145</v>
      </c>
      <c r="G12" s="6">
        <v>10</v>
      </c>
      <c r="H12" s="6">
        <v>5</v>
      </c>
      <c r="I12" s="2">
        <v>0</v>
      </c>
      <c r="J12" s="2">
        <v>0</v>
      </c>
      <c r="K12" s="2">
        <v>0</v>
      </c>
      <c r="L12" s="5">
        <v>0</v>
      </c>
      <c r="M12" s="5">
        <v>0</v>
      </c>
      <c r="N12" s="130">
        <v>0</v>
      </c>
      <c r="O12" s="130">
        <v>0</v>
      </c>
      <c r="P12" s="56">
        <v>0</v>
      </c>
      <c r="Q12" s="56">
        <v>0</v>
      </c>
      <c r="R12" s="56">
        <v>0</v>
      </c>
      <c r="S12" s="56">
        <v>0</v>
      </c>
    </row>
    <row r="13" spans="1:21" ht="22.05" customHeight="1" x14ac:dyDescent="0.45">
      <c r="A13" s="16" t="s">
        <v>32</v>
      </c>
      <c r="B13" s="35">
        <v>24</v>
      </c>
      <c r="C13" s="19">
        <v>10</v>
      </c>
      <c r="D13" s="114">
        <v>43265.416666666664</v>
      </c>
      <c r="E13" s="18">
        <v>4.3211391417425231</v>
      </c>
      <c r="F13" s="17">
        <v>10.157360406091369</v>
      </c>
      <c r="G13" s="6">
        <v>10</v>
      </c>
      <c r="H13" s="6">
        <v>5</v>
      </c>
      <c r="I13" s="2">
        <v>0</v>
      </c>
      <c r="J13" s="2">
        <v>0</v>
      </c>
      <c r="K13" s="2">
        <v>0</v>
      </c>
      <c r="L13" s="5">
        <v>0</v>
      </c>
      <c r="M13" s="5">
        <v>0</v>
      </c>
      <c r="N13" s="130">
        <v>0</v>
      </c>
      <c r="O13" s="130">
        <v>0</v>
      </c>
      <c r="P13" s="56">
        <v>0</v>
      </c>
      <c r="Q13" s="56">
        <v>0</v>
      </c>
      <c r="R13" s="56">
        <v>0</v>
      </c>
      <c r="S13" s="56">
        <v>0</v>
      </c>
    </row>
    <row r="14" spans="1:21" ht="22.05" customHeight="1" x14ac:dyDescent="0.45">
      <c r="A14" s="128" t="s">
        <v>10</v>
      </c>
      <c r="B14" s="129"/>
      <c r="C14" s="19">
        <v>11</v>
      </c>
      <c r="D14" s="114">
        <v>43265.458333333336</v>
      </c>
      <c r="E14" s="18">
        <v>3.5474070221066327</v>
      </c>
      <c r="F14" s="17">
        <v>12.025380710659897</v>
      </c>
      <c r="G14" s="6">
        <v>10</v>
      </c>
      <c r="H14" s="6">
        <v>5</v>
      </c>
      <c r="I14" s="2">
        <v>0</v>
      </c>
      <c r="J14" s="2">
        <v>0</v>
      </c>
      <c r="K14" s="2">
        <v>0</v>
      </c>
      <c r="L14" s="5">
        <v>0</v>
      </c>
      <c r="M14" s="5">
        <v>0</v>
      </c>
      <c r="N14" s="130">
        <v>0</v>
      </c>
      <c r="O14" s="130">
        <v>0</v>
      </c>
      <c r="P14" s="56">
        <v>0</v>
      </c>
      <c r="Q14" s="56">
        <v>0</v>
      </c>
      <c r="R14" s="56">
        <v>0</v>
      </c>
      <c r="S14" s="56">
        <v>0</v>
      </c>
    </row>
    <row r="15" spans="1:21" ht="22.05" customHeight="1" x14ac:dyDescent="0.45">
      <c r="A15" s="164">
        <v>0</v>
      </c>
      <c r="B15" s="165"/>
      <c r="C15" s="19">
        <v>12</v>
      </c>
      <c r="D15" s="114">
        <v>43265.5</v>
      </c>
      <c r="E15" s="18">
        <v>4.3985123537061126</v>
      </c>
      <c r="F15" s="17">
        <v>13.426395939086293</v>
      </c>
      <c r="G15" s="6">
        <v>10</v>
      </c>
      <c r="H15" s="6">
        <v>5</v>
      </c>
      <c r="I15" s="2">
        <v>0</v>
      </c>
      <c r="J15" s="2">
        <v>0</v>
      </c>
      <c r="K15" s="2">
        <v>0</v>
      </c>
      <c r="L15" s="5">
        <v>0</v>
      </c>
      <c r="M15" s="5">
        <v>0</v>
      </c>
      <c r="N15" s="130">
        <v>0</v>
      </c>
      <c r="O15" s="130">
        <v>0</v>
      </c>
      <c r="P15" s="56">
        <v>0</v>
      </c>
      <c r="Q15" s="56">
        <v>0</v>
      </c>
      <c r="R15" s="56">
        <v>0</v>
      </c>
      <c r="S15" s="56">
        <v>0</v>
      </c>
    </row>
    <row r="16" spans="1:21" ht="22.05" customHeight="1" x14ac:dyDescent="0.45">
      <c r="A16" s="164">
        <v>0</v>
      </c>
      <c r="B16" s="165"/>
      <c r="C16" s="19">
        <v>13</v>
      </c>
      <c r="D16" s="114">
        <v>43265.541666666664</v>
      </c>
      <c r="E16" s="18">
        <v>2.6189284785435638</v>
      </c>
      <c r="F16" s="17">
        <v>14.36040609137056</v>
      </c>
      <c r="G16" s="6">
        <v>10</v>
      </c>
      <c r="H16" s="6">
        <v>5</v>
      </c>
      <c r="I16" s="2">
        <v>0</v>
      </c>
      <c r="J16" s="2">
        <v>0</v>
      </c>
      <c r="K16" s="2">
        <v>0</v>
      </c>
      <c r="L16" s="5">
        <v>0</v>
      </c>
      <c r="M16" s="5">
        <v>0</v>
      </c>
      <c r="N16" s="130">
        <v>0</v>
      </c>
      <c r="O16" s="130">
        <v>0</v>
      </c>
      <c r="P16" s="56">
        <v>0</v>
      </c>
      <c r="Q16" s="56">
        <v>0</v>
      </c>
      <c r="R16" s="56">
        <v>0</v>
      </c>
      <c r="S16" s="56">
        <v>0</v>
      </c>
    </row>
    <row r="17" spans="1:19" ht="22.05" customHeight="1" x14ac:dyDescent="0.3">
      <c r="A17" s="8"/>
      <c r="B17" s="8"/>
      <c r="C17" s="19">
        <v>14</v>
      </c>
      <c r="D17" s="114">
        <v>43265.583333333336</v>
      </c>
      <c r="E17" s="18">
        <v>3.1664213263979195</v>
      </c>
      <c r="F17" s="17">
        <v>13.543147208121828</v>
      </c>
      <c r="G17" s="6">
        <v>10</v>
      </c>
      <c r="H17" s="6">
        <v>5</v>
      </c>
      <c r="I17" s="2">
        <v>0</v>
      </c>
      <c r="J17" s="2">
        <v>0</v>
      </c>
      <c r="K17" s="2">
        <v>0</v>
      </c>
      <c r="L17" s="5">
        <v>0</v>
      </c>
      <c r="M17" s="5">
        <v>0</v>
      </c>
      <c r="N17" s="130">
        <v>0</v>
      </c>
      <c r="O17" s="130">
        <v>0</v>
      </c>
      <c r="P17" s="56">
        <v>0</v>
      </c>
      <c r="Q17" s="56">
        <v>0</v>
      </c>
      <c r="R17" s="56">
        <v>0</v>
      </c>
      <c r="S17" s="56">
        <v>0</v>
      </c>
    </row>
    <row r="18" spans="1:19" ht="22.05" customHeight="1" x14ac:dyDescent="0.3">
      <c r="A18" s="8"/>
      <c r="B18" s="8"/>
      <c r="C18" s="19">
        <v>15</v>
      </c>
      <c r="D18" s="114">
        <v>43265.625</v>
      </c>
      <c r="E18" s="18">
        <v>2.5533159947984405</v>
      </c>
      <c r="F18" s="17">
        <v>12.609137055837564</v>
      </c>
      <c r="G18" s="6">
        <v>10</v>
      </c>
      <c r="H18" s="6">
        <v>5</v>
      </c>
      <c r="I18" s="2">
        <v>0</v>
      </c>
      <c r="J18" s="2">
        <v>0</v>
      </c>
      <c r="K18" s="2">
        <v>0</v>
      </c>
      <c r="L18" s="5">
        <v>0</v>
      </c>
      <c r="M18" s="5">
        <v>0</v>
      </c>
      <c r="N18" s="130">
        <v>0</v>
      </c>
      <c r="O18" s="130">
        <v>0</v>
      </c>
      <c r="P18" s="56">
        <v>0</v>
      </c>
      <c r="Q18" s="56">
        <v>0</v>
      </c>
      <c r="R18" s="56">
        <v>0</v>
      </c>
      <c r="S18" s="56">
        <v>0</v>
      </c>
    </row>
    <row r="19" spans="1:19" ht="22.05" customHeight="1" x14ac:dyDescent="0.45">
      <c r="A19" s="157"/>
      <c r="B19" s="157"/>
      <c r="C19" s="19">
        <v>16</v>
      </c>
      <c r="D19" s="114">
        <v>43265.666666666664</v>
      </c>
      <c r="E19" s="18">
        <v>1.9343302990897271</v>
      </c>
      <c r="F19" s="17">
        <v>11.558375634517768</v>
      </c>
      <c r="G19" s="6">
        <v>10</v>
      </c>
      <c r="H19" s="6">
        <v>5</v>
      </c>
      <c r="I19" s="2">
        <v>0</v>
      </c>
      <c r="J19" s="2">
        <v>0</v>
      </c>
      <c r="K19" s="2">
        <v>0</v>
      </c>
      <c r="L19" s="5">
        <v>0</v>
      </c>
      <c r="M19" s="5">
        <v>0</v>
      </c>
      <c r="N19" s="130">
        <v>0</v>
      </c>
      <c r="O19" s="130">
        <v>0</v>
      </c>
      <c r="P19" s="56">
        <v>0</v>
      </c>
      <c r="Q19" s="56">
        <v>0</v>
      </c>
      <c r="R19" s="56">
        <v>0</v>
      </c>
      <c r="S19" s="56">
        <v>0</v>
      </c>
    </row>
    <row r="20" spans="1:19" ht="22.05" customHeight="1" x14ac:dyDescent="0.3">
      <c r="A20" s="9"/>
      <c r="B20" s="9"/>
      <c r="C20" s="19">
        <v>17</v>
      </c>
      <c r="D20" s="114">
        <v>43265.708333333336</v>
      </c>
      <c r="E20" s="18">
        <v>4.8745123537061126</v>
      </c>
      <c r="F20" s="17">
        <v>8.5228426395939092</v>
      </c>
      <c r="G20" s="6">
        <v>10</v>
      </c>
      <c r="H20" s="6">
        <v>5</v>
      </c>
      <c r="I20" s="2">
        <v>0</v>
      </c>
      <c r="J20" s="2">
        <v>0</v>
      </c>
      <c r="K20" s="2">
        <v>0</v>
      </c>
      <c r="L20" s="5">
        <v>0</v>
      </c>
      <c r="M20" s="5">
        <v>0</v>
      </c>
      <c r="N20" s="130">
        <v>0</v>
      </c>
      <c r="O20" s="130">
        <v>0</v>
      </c>
      <c r="P20" s="56">
        <v>0</v>
      </c>
      <c r="Q20" s="56">
        <v>0</v>
      </c>
      <c r="R20" s="56">
        <v>0</v>
      </c>
      <c r="S20" s="56">
        <v>0</v>
      </c>
    </row>
    <row r="21" spans="1:19" ht="22.05" customHeight="1" x14ac:dyDescent="0.3">
      <c r="C21" s="19">
        <v>18</v>
      </c>
      <c r="D21" s="114">
        <v>43265.75</v>
      </c>
      <c r="E21" s="18">
        <v>9.2074122236671005</v>
      </c>
      <c r="F21" s="17">
        <v>6.654822335025381</v>
      </c>
      <c r="G21" s="6">
        <v>10</v>
      </c>
      <c r="H21" s="6">
        <v>5</v>
      </c>
      <c r="I21" s="2">
        <v>0</v>
      </c>
      <c r="J21" s="2">
        <v>0</v>
      </c>
      <c r="K21" s="2">
        <v>0</v>
      </c>
      <c r="L21" s="5">
        <v>0</v>
      </c>
      <c r="M21" s="5">
        <v>0</v>
      </c>
      <c r="N21" s="130">
        <v>0</v>
      </c>
      <c r="O21" s="130">
        <v>0</v>
      </c>
      <c r="P21" s="56">
        <v>0</v>
      </c>
      <c r="Q21" s="56">
        <v>0</v>
      </c>
      <c r="R21" s="56">
        <v>0</v>
      </c>
      <c r="S21" s="56">
        <v>0</v>
      </c>
    </row>
    <row r="22" spans="1:19" ht="22.05" customHeight="1" x14ac:dyDescent="0.3">
      <c r="C22" s="19">
        <v>19</v>
      </c>
      <c r="D22" s="114">
        <v>43265.791666666664</v>
      </c>
      <c r="E22" s="18">
        <v>10.677503250975295</v>
      </c>
      <c r="F22" s="17">
        <v>3.6192893401015231</v>
      </c>
      <c r="G22" s="6">
        <v>10</v>
      </c>
      <c r="H22" s="6">
        <v>5</v>
      </c>
      <c r="I22" s="2">
        <v>0</v>
      </c>
      <c r="J22" s="2">
        <v>0</v>
      </c>
      <c r="K22" s="2">
        <v>0</v>
      </c>
      <c r="L22" s="5">
        <v>0</v>
      </c>
      <c r="M22" s="5">
        <v>0</v>
      </c>
      <c r="N22" s="130">
        <v>0</v>
      </c>
      <c r="O22" s="130">
        <v>0</v>
      </c>
      <c r="P22" s="56">
        <v>0</v>
      </c>
      <c r="Q22" s="56">
        <v>0</v>
      </c>
      <c r="R22" s="56">
        <v>0</v>
      </c>
      <c r="S22" s="56">
        <v>0</v>
      </c>
    </row>
    <row r="23" spans="1:19" ht="22.05" customHeight="1" x14ac:dyDescent="0.3">
      <c r="C23" s="19">
        <v>20</v>
      </c>
      <c r="D23" s="114">
        <v>43265.833333333336</v>
      </c>
      <c r="E23" s="18">
        <v>10.986996098829648</v>
      </c>
      <c r="F23" s="17">
        <v>0.93401015228426398</v>
      </c>
      <c r="G23" s="6">
        <v>10</v>
      </c>
      <c r="H23" s="6">
        <v>5</v>
      </c>
      <c r="I23" s="2">
        <v>0</v>
      </c>
      <c r="J23" s="2">
        <v>0</v>
      </c>
      <c r="K23" s="2">
        <v>0</v>
      </c>
      <c r="L23" s="5">
        <v>0</v>
      </c>
      <c r="M23" s="5">
        <v>0</v>
      </c>
      <c r="N23" s="130">
        <v>0</v>
      </c>
      <c r="O23" s="130">
        <v>0</v>
      </c>
      <c r="P23" s="56">
        <v>0</v>
      </c>
      <c r="Q23" s="56">
        <v>0</v>
      </c>
      <c r="R23" s="56">
        <v>0</v>
      </c>
      <c r="S23" s="56">
        <v>0</v>
      </c>
    </row>
    <row r="24" spans="1:19" ht="22.05" customHeight="1" x14ac:dyDescent="0.3">
      <c r="C24" s="19">
        <v>21</v>
      </c>
      <c r="D24" s="114">
        <v>43265.875</v>
      </c>
      <c r="E24" s="18">
        <v>12.24237646293887</v>
      </c>
      <c r="F24" s="17">
        <v>0</v>
      </c>
      <c r="G24" s="6">
        <v>10</v>
      </c>
      <c r="H24" s="6">
        <v>5</v>
      </c>
      <c r="I24" s="2">
        <v>0</v>
      </c>
      <c r="J24" s="2">
        <v>0</v>
      </c>
      <c r="K24" s="2">
        <v>0</v>
      </c>
      <c r="L24" s="5">
        <v>0</v>
      </c>
      <c r="M24" s="5">
        <v>0</v>
      </c>
      <c r="N24" s="130">
        <v>0</v>
      </c>
      <c r="O24" s="130">
        <v>0</v>
      </c>
      <c r="P24" s="56">
        <v>0</v>
      </c>
      <c r="Q24" s="56">
        <v>0</v>
      </c>
      <c r="R24" s="56">
        <v>0</v>
      </c>
      <c r="S24" s="56">
        <v>0</v>
      </c>
    </row>
    <row r="25" spans="1:19" ht="22.05" customHeight="1" x14ac:dyDescent="0.3">
      <c r="C25" s="19">
        <v>22</v>
      </c>
      <c r="D25" s="114">
        <v>43265.916666666664</v>
      </c>
      <c r="E25" s="18">
        <v>9.3795676202860729</v>
      </c>
      <c r="F25" s="17">
        <v>0</v>
      </c>
      <c r="G25" s="6">
        <v>10</v>
      </c>
      <c r="H25" s="6">
        <v>5</v>
      </c>
      <c r="I25" s="2">
        <v>0</v>
      </c>
      <c r="J25" s="2">
        <v>0</v>
      </c>
      <c r="K25" s="2">
        <v>0</v>
      </c>
      <c r="L25" s="5">
        <v>0</v>
      </c>
      <c r="M25" s="5">
        <v>0</v>
      </c>
      <c r="N25" s="130">
        <v>0</v>
      </c>
      <c r="O25" s="130">
        <v>0</v>
      </c>
      <c r="P25" s="56">
        <v>0</v>
      </c>
      <c r="Q25" s="56">
        <v>0</v>
      </c>
      <c r="R25" s="56">
        <v>0</v>
      </c>
      <c r="S25" s="56">
        <v>0</v>
      </c>
    </row>
    <row r="26" spans="1:19" ht="22.05" customHeight="1" x14ac:dyDescent="0.3">
      <c r="C26" s="19">
        <v>23</v>
      </c>
      <c r="D26" s="114">
        <v>43265.958333333336</v>
      </c>
      <c r="E26" s="18">
        <v>7.8920676202860873</v>
      </c>
      <c r="F26" s="17">
        <v>0</v>
      </c>
      <c r="G26" s="6">
        <v>10</v>
      </c>
      <c r="H26" s="6">
        <v>5</v>
      </c>
      <c r="I26" s="2">
        <v>0</v>
      </c>
      <c r="J26" s="2">
        <v>0</v>
      </c>
      <c r="K26" s="2">
        <v>0</v>
      </c>
      <c r="L26" s="5">
        <v>0</v>
      </c>
      <c r="M26" s="5">
        <v>0</v>
      </c>
      <c r="N26" s="130">
        <v>0</v>
      </c>
      <c r="O26" s="130">
        <v>0</v>
      </c>
      <c r="P26" s="56">
        <v>0</v>
      </c>
      <c r="Q26" s="56">
        <v>0</v>
      </c>
      <c r="R26" s="56">
        <v>0</v>
      </c>
      <c r="S26" s="56">
        <v>0</v>
      </c>
    </row>
    <row r="27" spans="1:19" ht="22.05" customHeight="1" x14ac:dyDescent="0.3">
      <c r="C27" s="19">
        <v>24</v>
      </c>
      <c r="D27" s="114">
        <v>43266</v>
      </c>
      <c r="E27" s="18">
        <v>7.1957087126137846</v>
      </c>
      <c r="F27" s="17">
        <v>0</v>
      </c>
      <c r="G27" s="6">
        <v>10</v>
      </c>
      <c r="H27" s="6">
        <v>5</v>
      </c>
      <c r="I27" s="2">
        <v>0</v>
      </c>
      <c r="J27" s="2">
        <v>0</v>
      </c>
      <c r="K27" s="2">
        <v>0</v>
      </c>
      <c r="L27" s="5">
        <v>0</v>
      </c>
      <c r="M27" s="5">
        <v>0</v>
      </c>
      <c r="N27" s="130">
        <v>0</v>
      </c>
      <c r="O27" s="130">
        <v>0</v>
      </c>
      <c r="P27" s="56">
        <v>0</v>
      </c>
      <c r="Q27" s="56">
        <v>0</v>
      </c>
      <c r="R27" s="56">
        <v>0</v>
      </c>
      <c r="S27" s="56">
        <v>0</v>
      </c>
    </row>
    <row r="28" spans="1:19" ht="22.05" customHeight="1" x14ac:dyDescent="0.3">
      <c r="C28" s="19"/>
      <c r="D28" s="34"/>
      <c r="E28" s="2"/>
      <c r="F28" s="2"/>
      <c r="G28" s="2"/>
      <c r="H28" s="18"/>
      <c r="I28" s="17"/>
      <c r="J28" s="5"/>
      <c r="K28" s="5"/>
      <c r="L28" s="6"/>
      <c r="M28" s="6"/>
      <c r="N28" s="56"/>
      <c r="O28" s="56"/>
      <c r="P28" s="56"/>
      <c r="Q28" s="56"/>
    </row>
    <row r="29" spans="1:19" ht="22.05" customHeight="1" x14ac:dyDescent="0.3">
      <c r="C29" s="19"/>
      <c r="D29" s="34"/>
      <c r="E29" s="2"/>
      <c r="F29" s="2"/>
      <c r="G29" s="2"/>
      <c r="H29" s="18"/>
      <c r="I29" s="17"/>
      <c r="J29" s="5"/>
      <c r="K29" s="5"/>
      <c r="L29" s="6"/>
      <c r="M29" s="6"/>
      <c r="N29" s="56"/>
      <c r="O29" s="56"/>
      <c r="P29" s="56"/>
      <c r="Q29" s="56"/>
    </row>
    <row r="30" spans="1:19" ht="22.05" customHeight="1" x14ac:dyDescent="0.3">
      <c r="C30" s="19"/>
      <c r="D30" s="34"/>
      <c r="E30" s="2"/>
      <c r="F30" s="2"/>
      <c r="G30" s="2"/>
      <c r="H30" s="18"/>
      <c r="I30" s="17"/>
      <c r="J30" s="5"/>
      <c r="K30" s="5"/>
      <c r="L30" s="6"/>
      <c r="M30" s="6"/>
      <c r="N30" s="56"/>
      <c r="O30" s="56"/>
      <c r="P30" s="56"/>
      <c r="Q30" s="56"/>
    </row>
    <row r="31" spans="1:19" ht="22.05" customHeight="1" x14ac:dyDescent="0.3">
      <c r="C31" s="19"/>
      <c r="D31" s="34"/>
      <c r="E31" s="2"/>
      <c r="F31" s="2"/>
      <c r="G31" s="2"/>
      <c r="H31" s="18"/>
      <c r="I31" s="17"/>
      <c r="J31" s="5"/>
      <c r="K31" s="5"/>
      <c r="L31" s="6"/>
      <c r="M31" s="6"/>
      <c r="N31" s="56"/>
      <c r="O31" s="56"/>
      <c r="P31" s="56"/>
      <c r="Q31" s="56"/>
    </row>
    <row r="32" spans="1:19"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7859D-CA28-4AD1-B4AE-E9910954BE1F}">
  <sheetPr codeName="Tabelle12"/>
  <dimension ref="A1:U100"/>
  <sheetViews>
    <sheetView zoomScale="55" zoomScaleNormal="55" workbookViewId="0">
      <selection activeCell="U12" sqref="U12"/>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19" width="13.77734375" style="1" customWidth="1"/>
    <col min="22" max="16384" width="11.5546875" style="1"/>
  </cols>
  <sheetData>
    <row r="1" spans="1:21" ht="41.4" customHeight="1" thickBot="1" x14ac:dyDescent="0.35">
      <c r="A1" s="158" t="s">
        <v>72</v>
      </c>
      <c r="B1" s="159"/>
      <c r="C1" s="160" t="s">
        <v>12</v>
      </c>
      <c r="D1" s="161" t="s">
        <v>0</v>
      </c>
      <c r="G1" s="1"/>
      <c r="H1" s="1"/>
      <c r="I1" s="1"/>
      <c r="J1" s="1"/>
      <c r="K1" s="1"/>
      <c r="L1" s="1"/>
      <c r="M1" s="1"/>
      <c r="T1" s="1"/>
      <c r="U1" s="1"/>
    </row>
    <row r="2" spans="1:21" ht="22.05" customHeight="1" x14ac:dyDescent="0.45">
      <c r="A2" s="16" t="s">
        <v>1</v>
      </c>
      <c r="B2" s="35">
        <v>0.1</v>
      </c>
      <c r="C2" s="37" t="s">
        <v>11</v>
      </c>
      <c r="D2" s="38" t="s">
        <v>11</v>
      </c>
      <c r="E2" s="40" t="s">
        <v>14</v>
      </c>
      <c r="F2" s="40" t="s">
        <v>14</v>
      </c>
      <c r="G2" s="40" t="s">
        <v>14</v>
      </c>
      <c r="H2" s="40" t="s">
        <v>14</v>
      </c>
      <c r="I2" s="39" t="s">
        <v>13</v>
      </c>
      <c r="J2" s="39" t="s">
        <v>13</v>
      </c>
      <c r="K2" s="39" t="s">
        <v>13</v>
      </c>
      <c r="L2" s="39" t="s">
        <v>13</v>
      </c>
      <c r="M2" s="39" t="s">
        <v>13</v>
      </c>
      <c r="N2" s="39" t="s">
        <v>13</v>
      </c>
      <c r="O2" s="41" t="s">
        <v>13</v>
      </c>
      <c r="P2" s="39" t="s">
        <v>13</v>
      </c>
      <c r="Q2" s="39" t="s">
        <v>13</v>
      </c>
      <c r="R2" s="39" t="s">
        <v>13</v>
      </c>
      <c r="S2" s="41" t="s">
        <v>13</v>
      </c>
    </row>
    <row r="3" spans="1:21" ht="22.05" customHeight="1" thickBot="1" x14ac:dyDescent="0.5">
      <c r="A3" s="16" t="s">
        <v>2</v>
      </c>
      <c r="B3" s="35">
        <v>5</v>
      </c>
      <c r="C3" s="20" t="s">
        <v>27</v>
      </c>
      <c r="D3" s="21" t="s">
        <v>85</v>
      </c>
      <c r="E3" s="57" t="s">
        <v>26</v>
      </c>
      <c r="F3" s="57" t="s">
        <v>97</v>
      </c>
      <c r="G3" s="57" t="s">
        <v>28</v>
      </c>
      <c r="H3" s="57" t="s">
        <v>29</v>
      </c>
      <c r="I3" s="57" t="s">
        <v>16</v>
      </c>
      <c r="J3" s="57" t="s">
        <v>17</v>
      </c>
      <c r="K3" s="57" t="s">
        <v>20</v>
      </c>
      <c r="L3" s="57" t="s">
        <v>23</v>
      </c>
      <c r="M3" s="57" t="s">
        <v>24</v>
      </c>
      <c r="N3" s="118" t="s">
        <v>95</v>
      </c>
      <c r="O3" s="118" t="s">
        <v>96</v>
      </c>
      <c r="P3" s="2" t="s">
        <v>91</v>
      </c>
      <c r="Q3" s="2" t="s">
        <v>92</v>
      </c>
      <c r="R3" s="2" t="s">
        <v>93</v>
      </c>
      <c r="S3" s="2" t="s">
        <v>94</v>
      </c>
    </row>
    <row r="4" spans="1:21" ht="22.05" customHeight="1" x14ac:dyDescent="0.45">
      <c r="A4" s="16" t="s">
        <v>3</v>
      </c>
      <c r="B4" s="35">
        <v>0.1</v>
      </c>
      <c r="C4" s="49">
        <v>1</v>
      </c>
      <c r="D4" s="114">
        <v>43265.041666666664</v>
      </c>
      <c r="E4" s="51">
        <v>1.7646293888166453</v>
      </c>
      <c r="F4" s="17">
        <v>0</v>
      </c>
      <c r="G4" s="54">
        <v>10</v>
      </c>
      <c r="H4" s="54">
        <v>5</v>
      </c>
      <c r="I4" s="36">
        <v>0</v>
      </c>
      <c r="J4" s="36">
        <v>0</v>
      </c>
      <c r="K4" s="36">
        <v>0</v>
      </c>
      <c r="L4" s="53">
        <v>0</v>
      </c>
      <c r="M4" s="53">
        <v>0</v>
      </c>
      <c r="N4" s="130">
        <v>0</v>
      </c>
      <c r="O4" s="130">
        <v>0</v>
      </c>
      <c r="P4" s="56">
        <v>0</v>
      </c>
      <c r="Q4" s="56">
        <v>0</v>
      </c>
      <c r="R4" s="56">
        <v>0</v>
      </c>
      <c r="S4" s="56">
        <v>0</v>
      </c>
    </row>
    <row r="5" spans="1:21" ht="22.05" customHeight="1" x14ac:dyDescent="0.45">
      <c r="A5" s="16" t="s">
        <v>4</v>
      </c>
      <c r="B5" s="35">
        <v>5</v>
      </c>
      <c r="C5" s="19">
        <v>2</v>
      </c>
      <c r="D5" s="114">
        <v>43265.083333333336</v>
      </c>
      <c r="E5" s="18">
        <v>1.7945383615084527</v>
      </c>
      <c r="F5" s="17">
        <v>0</v>
      </c>
      <c r="G5" s="6">
        <v>10</v>
      </c>
      <c r="H5" s="6">
        <v>5</v>
      </c>
      <c r="I5" s="2">
        <v>0</v>
      </c>
      <c r="J5" s="2">
        <v>0</v>
      </c>
      <c r="K5" s="2">
        <v>0</v>
      </c>
      <c r="L5" s="5">
        <v>0</v>
      </c>
      <c r="M5" s="5">
        <v>0</v>
      </c>
      <c r="N5" s="130">
        <v>0</v>
      </c>
      <c r="O5" s="130">
        <v>0</v>
      </c>
      <c r="P5" s="56">
        <v>0</v>
      </c>
      <c r="Q5" s="56">
        <v>0</v>
      </c>
      <c r="R5" s="56">
        <v>0</v>
      </c>
      <c r="S5" s="56">
        <v>0</v>
      </c>
    </row>
    <row r="6" spans="1:21" ht="22.05" customHeight="1" x14ac:dyDescent="0.45">
      <c r="A6" s="16" t="s">
        <v>5</v>
      </c>
      <c r="B6" s="35">
        <v>0.5</v>
      </c>
      <c r="C6" s="19">
        <v>3</v>
      </c>
      <c r="D6" s="114">
        <v>43265.125</v>
      </c>
      <c r="E6" s="18">
        <v>1.1963589076723018</v>
      </c>
      <c r="F6" s="17">
        <v>0</v>
      </c>
      <c r="G6" s="6">
        <v>10</v>
      </c>
      <c r="H6" s="6">
        <v>5</v>
      </c>
      <c r="I6" s="2">
        <v>0</v>
      </c>
      <c r="J6" s="2">
        <v>0</v>
      </c>
      <c r="K6" s="2">
        <v>0</v>
      </c>
      <c r="L6" s="5">
        <v>0</v>
      </c>
      <c r="M6" s="5">
        <v>0</v>
      </c>
      <c r="N6" s="130">
        <v>0</v>
      </c>
      <c r="O6" s="130">
        <v>0</v>
      </c>
      <c r="P6" s="56">
        <v>0</v>
      </c>
      <c r="Q6" s="56">
        <v>0</v>
      </c>
      <c r="R6" s="56">
        <v>0</v>
      </c>
      <c r="S6" s="56">
        <v>0</v>
      </c>
    </row>
    <row r="7" spans="1:21" ht="22.05" customHeight="1" x14ac:dyDescent="0.45">
      <c r="A7" s="16" t="s">
        <v>6</v>
      </c>
      <c r="B7" s="35">
        <v>20</v>
      </c>
      <c r="C7" s="19">
        <v>4</v>
      </c>
      <c r="D7" s="114">
        <v>43265.166666666664</v>
      </c>
      <c r="E7" s="18">
        <v>0.77763328998699632</v>
      </c>
      <c r="F7" s="17">
        <v>0</v>
      </c>
      <c r="G7" s="6">
        <v>10</v>
      </c>
      <c r="H7" s="6">
        <v>5</v>
      </c>
      <c r="I7" s="2">
        <v>0</v>
      </c>
      <c r="J7" s="2">
        <v>0</v>
      </c>
      <c r="K7" s="2">
        <v>0</v>
      </c>
      <c r="L7" s="5">
        <v>0</v>
      </c>
      <c r="M7" s="5">
        <v>0</v>
      </c>
      <c r="N7" s="130">
        <v>0</v>
      </c>
      <c r="O7" s="130">
        <v>0</v>
      </c>
      <c r="P7" s="56">
        <v>0</v>
      </c>
      <c r="Q7" s="56">
        <v>0</v>
      </c>
      <c r="R7" s="56">
        <v>0</v>
      </c>
      <c r="S7" s="56">
        <v>0</v>
      </c>
    </row>
    <row r="8" spans="1:21" ht="22.05" customHeight="1" x14ac:dyDescent="0.45">
      <c r="A8" s="16" t="s">
        <v>7</v>
      </c>
      <c r="B8" s="35">
        <v>1</v>
      </c>
      <c r="C8" s="19">
        <v>5</v>
      </c>
      <c r="D8" s="114">
        <v>43265.208333333336</v>
      </c>
      <c r="E8" s="18">
        <v>0.5981794538361509</v>
      </c>
      <c r="F8" s="17">
        <v>0</v>
      </c>
      <c r="G8" s="6">
        <v>10</v>
      </c>
      <c r="H8" s="6">
        <v>5</v>
      </c>
      <c r="I8" s="2">
        <v>0</v>
      </c>
      <c r="J8" s="2">
        <v>0</v>
      </c>
      <c r="K8" s="2">
        <v>0</v>
      </c>
      <c r="L8" s="5">
        <v>0</v>
      </c>
      <c r="M8" s="5">
        <v>0</v>
      </c>
      <c r="N8" s="130">
        <v>0</v>
      </c>
      <c r="O8" s="130">
        <v>0</v>
      </c>
      <c r="P8" s="56">
        <v>0</v>
      </c>
      <c r="Q8" s="56">
        <v>0</v>
      </c>
      <c r="R8" s="56">
        <v>0</v>
      </c>
      <c r="S8" s="56">
        <v>0</v>
      </c>
    </row>
    <row r="9" spans="1:21" ht="22.05" customHeight="1" x14ac:dyDescent="0.45">
      <c r="A9" s="16" t="s">
        <v>8</v>
      </c>
      <c r="B9" s="35">
        <v>20</v>
      </c>
      <c r="C9" s="19">
        <v>6</v>
      </c>
      <c r="D9" s="114">
        <v>43265.25</v>
      </c>
      <c r="E9" s="18">
        <v>0.89726918075422635</v>
      </c>
      <c r="F9" s="17">
        <v>0</v>
      </c>
      <c r="G9" s="6">
        <v>10</v>
      </c>
      <c r="H9" s="6">
        <v>5</v>
      </c>
      <c r="I9" s="2">
        <v>0</v>
      </c>
      <c r="J9" s="2">
        <v>0</v>
      </c>
      <c r="K9" s="2">
        <v>0</v>
      </c>
      <c r="L9" s="5">
        <v>0</v>
      </c>
      <c r="M9" s="5">
        <v>0</v>
      </c>
      <c r="N9" s="130">
        <v>0</v>
      </c>
      <c r="O9" s="130">
        <v>0</v>
      </c>
      <c r="P9" s="56">
        <v>0</v>
      </c>
      <c r="Q9" s="56">
        <v>0</v>
      </c>
      <c r="R9" s="56">
        <v>0</v>
      </c>
      <c r="S9" s="56">
        <v>0</v>
      </c>
    </row>
    <row r="10" spans="1:21" ht="22.05" customHeight="1" x14ac:dyDescent="0.45">
      <c r="A10" s="16" t="s">
        <v>31</v>
      </c>
      <c r="B10" s="35">
        <v>20</v>
      </c>
      <c r="C10" s="19">
        <v>7</v>
      </c>
      <c r="D10" s="114">
        <v>43265.291666666664</v>
      </c>
      <c r="E10" s="18">
        <v>0.59817945383615101</v>
      </c>
      <c r="F10" s="17">
        <v>0.83351007423117718</v>
      </c>
      <c r="G10" s="6">
        <v>10</v>
      </c>
      <c r="H10" s="6">
        <v>5</v>
      </c>
      <c r="I10" s="2">
        <v>0</v>
      </c>
      <c r="J10" s="2">
        <v>0</v>
      </c>
      <c r="K10" s="2">
        <v>0</v>
      </c>
      <c r="L10" s="5">
        <v>0</v>
      </c>
      <c r="M10" s="5">
        <v>0</v>
      </c>
      <c r="N10" s="130">
        <v>0</v>
      </c>
      <c r="O10" s="130">
        <v>0</v>
      </c>
      <c r="P10" s="56">
        <v>0</v>
      </c>
      <c r="Q10" s="56">
        <v>0</v>
      </c>
      <c r="R10" s="56">
        <v>0</v>
      </c>
      <c r="S10" s="56">
        <v>0</v>
      </c>
    </row>
    <row r="11" spans="1:21" ht="22.05" customHeight="1" x14ac:dyDescent="0.45">
      <c r="A11" s="16" t="s">
        <v>9</v>
      </c>
      <c r="B11" s="35">
        <v>10</v>
      </c>
      <c r="C11" s="19">
        <v>8</v>
      </c>
      <c r="D11" s="114">
        <v>43265.333333333336</v>
      </c>
      <c r="E11" s="18">
        <v>0.40036150845253576</v>
      </c>
      <c r="F11" s="17">
        <v>5.1399787910922585</v>
      </c>
      <c r="G11" s="6">
        <v>10</v>
      </c>
      <c r="H11" s="6">
        <v>5</v>
      </c>
      <c r="I11" s="2">
        <v>0</v>
      </c>
      <c r="J11" s="2">
        <v>0</v>
      </c>
      <c r="K11" s="2">
        <v>0</v>
      </c>
      <c r="L11" s="5">
        <v>0</v>
      </c>
      <c r="M11" s="5">
        <v>0</v>
      </c>
      <c r="N11" s="130">
        <v>0</v>
      </c>
      <c r="O11" s="130">
        <v>0</v>
      </c>
      <c r="P11" s="56">
        <v>0</v>
      </c>
      <c r="Q11" s="56">
        <v>0</v>
      </c>
      <c r="R11" s="56">
        <v>0</v>
      </c>
      <c r="S11" s="56">
        <v>0</v>
      </c>
    </row>
    <row r="12" spans="1:21" ht="22.05" customHeight="1" x14ac:dyDescent="0.45">
      <c r="A12" s="16" t="s">
        <v>15</v>
      </c>
      <c r="B12" s="35">
        <v>10</v>
      </c>
      <c r="C12" s="19">
        <v>9</v>
      </c>
      <c r="D12" s="114">
        <v>43265.375</v>
      </c>
      <c r="E12" s="18">
        <v>1.2516306892067621</v>
      </c>
      <c r="F12" s="17">
        <v>8.8907741251325572</v>
      </c>
      <c r="G12" s="6">
        <v>10</v>
      </c>
      <c r="H12" s="6">
        <v>5</v>
      </c>
      <c r="I12" s="2">
        <v>0</v>
      </c>
      <c r="J12" s="2">
        <v>0</v>
      </c>
      <c r="K12" s="2">
        <v>0</v>
      </c>
      <c r="L12" s="5">
        <v>0</v>
      </c>
      <c r="M12" s="5">
        <v>0</v>
      </c>
      <c r="N12" s="130">
        <v>0</v>
      </c>
      <c r="O12" s="130">
        <v>0</v>
      </c>
      <c r="P12" s="56">
        <v>0</v>
      </c>
      <c r="Q12" s="56">
        <v>0</v>
      </c>
      <c r="R12" s="56">
        <v>0</v>
      </c>
      <c r="S12" s="56">
        <v>0</v>
      </c>
    </row>
    <row r="13" spans="1:21" ht="22.05" customHeight="1" x14ac:dyDescent="0.45">
      <c r="A13" s="16" t="s">
        <v>32</v>
      </c>
      <c r="B13" s="35">
        <v>24</v>
      </c>
      <c r="C13" s="19">
        <v>10</v>
      </c>
      <c r="D13" s="114">
        <v>43265.416666666664</v>
      </c>
      <c r="E13" s="18">
        <v>1.6703563068920679</v>
      </c>
      <c r="F13" s="17">
        <v>13.197242841993639</v>
      </c>
      <c r="G13" s="6">
        <v>10</v>
      </c>
      <c r="H13" s="6">
        <v>5</v>
      </c>
      <c r="I13" s="2">
        <v>0</v>
      </c>
      <c r="J13" s="2">
        <v>0</v>
      </c>
      <c r="K13" s="2">
        <v>0</v>
      </c>
      <c r="L13" s="5">
        <v>0</v>
      </c>
      <c r="M13" s="5">
        <v>0</v>
      </c>
      <c r="N13" s="130">
        <v>0</v>
      </c>
      <c r="O13" s="130">
        <v>0</v>
      </c>
      <c r="P13" s="56">
        <v>0</v>
      </c>
      <c r="Q13" s="56">
        <v>0</v>
      </c>
      <c r="R13" s="56">
        <v>0</v>
      </c>
      <c r="S13" s="56">
        <v>0</v>
      </c>
    </row>
    <row r="14" spans="1:21" ht="22.05" customHeight="1" x14ac:dyDescent="0.45">
      <c r="A14" s="128" t="s">
        <v>10</v>
      </c>
      <c r="B14" s="129"/>
      <c r="C14" s="19">
        <v>11</v>
      </c>
      <c r="D14" s="114">
        <v>43265.458333333336</v>
      </c>
      <c r="E14" s="18">
        <v>1.3712665799739925</v>
      </c>
      <c r="F14" s="17">
        <v>15.419936373276776</v>
      </c>
      <c r="G14" s="6">
        <v>10</v>
      </c>
      <c r="H14" s="6">
        <v>5</v>
      </c>
      <c r="I14" s="2">
        <v>0</v>
      </c>
      <c r="J14" s="2">
        <v>0</v>
      </c>
      <c r="K14" s="2">
        <v>0</v>
      </c>
      <c r="L14" s="5">
        <v>0</v>
      </c>
      <c r="M14" s="5">
        <v>0</v>
      </c>
      <c r="N14" s="130">
        <v>0</v>
      </c>
      <c r="O14" s="130">
        <v>0</v>
      </c>
      <c r="P14" s="56">
        <v>0</v>
      </c>
      <c r="Q14" s="56">
        <v>0</v>
      </c>
      <c r="R14" s="56">
        <v>0</v>
      </c>
      <c r="S14" s="56">
        <v>0</v>
      </c>
    </row>
    <row r="15" spans="1:21" ht="22.05" customHeight="1" x14ac:dyDescent="0.45">
      <c r="A15" s="164">
        <v>0</v>
      </c>
      <c r="B15" s="165"/>
      <c r="C15" s="19">
        <v>12</v>
      </c>
      <c r="D15" s="114">
        <v>43265.5</v>
      </c>
      <c r="E15" s="18">
        <v>1.7002652795838755</v>
      </c>
      <c r="F15" s="17">
        <v>17.086956521739133</v>
      </c>
      <c r="G15" s="6">
        <v>10</v>
      </c>
      <c r="H15" s="6">
        <v>5</v>
      </c>
      <c r="I15" s="2">
        <v>0</v>
      </c>
      <c r="J15" s="2">
        <v>0</v>
      </c>
      <c r="K15" s="2">
        <v>0</v>
      </c>
      <c r="L15" s="5">
        <v>0</v>
      </c>
      <c r="M15" s="5">
        <v>0</v>
      </c>
      <c r="N15" s="130">
        <v>0</v>
      </c>
      <c r="O15" s="130">
        <v>0</v>
      </c>
      <c r="P15" s="56">
        <v>0</v>
      </c>
      <c r="Q15" s="56">
        <v>0</v>
      </c>
      <c r="R15" s="56">
        <v>0</v>
      </c>
      <c r="S15" s="56">
        <v>0</v>
      </c>
    </row>
    <row r="16" spans="1:21" ht="22.05" customHeight="1" x14ac:dyDescent="0.45">
      <c r="A16" s="164">
        <v>0</v>
      </c>
      <c r="B16" s="165"/>
      <c r="C16" s="19">
        <v>13</v>
      </c>
      <c r="D16" s="114">
        <v>43265.541666666664</v>
      </c>
      <c r="E16" s="18">
        <v>1.0123589076723019</v>
      </c>
      <c r="F16" s="17">
        <v>13.475079533404031</v>
      </c>
      <c r="G16" s="6">
        <v>10</v>
      </c>
      <c r="H16" s="6">
        <v>5</v>
      </c>
      <c r="I16" s="2">
        <v>0</v>
      </c>
      <c r="J16" s="2">
        <v>0</v>
      </c>
      <c r="K16" s="2">
        <v>0</v>
      </c>
      <c r="L16" s="5">
        <v>0</v>
      </c>
      <c r="M16" s="5">
        <v>0</v>
      </c>
      <c r="N16" s="130">
        <v>0</v>
      </c>
      <c r="O16" s="130">
        <v>0</v>
      </c>
      <c r="P16" s="56">
        <v>0</v>
      </c>
      <c r="Q16" s="56">
        <v>0</v>
      </c>
      <c r="R16" s="56">
        <v>0</v>
      </c>
      <c r="S16" s="56">
        <v>0</v>
      </c>
    </row>
    <row r="17" spans="1:19" ht="22.05" customHeight="1" x14ac:dyDescent="0.3">
      <c r="A17" s="8"/>
      <c r="B17" s="8"/>
      <c r="C17" s="19">
        <v>14</v>
      </c>
      <c r="D17" s="114">
        <v>43265.583333333336</v>
      </c>
      <c r="E17" s="18">
        <v>1.2239947984395319</v>
      </c>
      <c r="F17" s="17">
        <v>12.08589607635207</v>
      </c>
      <c r="G17" s="6">
        <v>10</v>
      </c>
      <c r="H17" s="6">
        <v>5</v>
      </c>
      <c r="I17" s="2">
        <v>0</v>
      </c>
      <c r="J17" s="2">
        <v>0</v>
      </c>
      <c r="K17" s="2">
        <v>0</v>
      </c>
      <c r="L17" s="5">
        <v>0</v>
      </c>
      <c r="M17" s="5">
        <v>0</v>
      </c>
      <c r="N17" s="130">
        <v>0</v>
      </c>
      <c r="O17" s="130">
        <v>0</v>
      </c>
      <c r="P17" s="56">
        <v>0</v>
      </c>
      <c r="Q17" s="56">
        <v>0</v>
      </c>
      <c r="R17" s="56">
        <v>0</v>
      </c>
      <c r="S17" s="56">
        <v>0</v>
      </c>
    </row>
    <row r="18" spans="1:19" ht="22.05" customHeight="1" x14ac:dyDescent="0.3">
      <c r="A18" s="8"/>
      <c r="B18" s="8"/>
      <c r="C18" s="19">
        <v>15</v>
      </c>
      <c r="D18" s="114">
        <v>43265.625</v>
      </c>
      <c r="E18" s="18">
        <v>0.98699609882964923</v>
      </c>
      <c r="F18" s="17">
        <v>10.974549310710501</v>
      </c>
      <c r="G18" s="6">
        <v>10</v>
      </c>
      <c r="H18" s="6">
        <v>5</v>
      </c>
      <c r="I18" s="2">
        <v>0</v>
      </c>
      <c r="J18" s="2">
        <v>0</v>
      </c>
      <c r="K18" s="2">
        <v>0</v>
      </c>
      <c r="L18" s="5">
        <v>0</v>
      </c>
      <c r="M18" s="5">
        <v>0</v>
      </c>
      <c r="N18" s="130">
        <v>0</v>
      </c>
      <c r="O18" s="130">
        <v>0</v>
      </c>
      <c r="P18" s="56">
        <v>0</v>
      </c>
      <c r="Q18" s="56">
        <v>0</v>
      </c>
      <c r="R18" s="56">
        <v>0</v>
      </c>
      <c r="S18" s="56">
        <v>0</v>
      </c>
    </row>
    <row r="19" spans="1:19" ht="22.05" customHeight="1" x14ac:dyDescent="0.45">
      <c r="A19" s="157"/>
      <c r="B19" s="157"/>
      <c r="C19" s="19">
        <v>16</v>
      </c>
      <c r="D19" s="114">
        <v>43265.666666666664</v>
      </c>
      <c r="E19" s="18">
        <v>0.74772431729518862</v>
      </c>
      <c r="F19" s="17">
        <v>11.391304347826086</v>
      </c>
      <c r="G19" s="6">
        <v>10</v>
      </c>
      <c r="H19" s="6">
        <v>5</v>
      </c>
      <c r="I19" s="2">
        <v>0</v>
      </c>
      <c r="J19" s="2">
        <v>0</v>
      </c>
      <c r="K19" s="2">
        <v>0</v>
      </c>
      <c r="L19" s="5">
        <v>0</v>
      </c>
      <c r="M19" s="5">
        <v>0</v>
      </c>
      <c r="N19" s="130">
        <v>0</v>
      </c>
      <c r="O19" s="130">
        <v>0</v>
      </c>
      <c r="P19" s="56">
        <v>0</v>
      </c>
      <c r="Q19" s="56">
        <v>0</v>
      </c>
      <c r="R19" s="56">
        <v>0</v>
      </c>
      <c r="S19" s="56">
        <v>0</v>
      </c>
    </row>
    <row r="20" spans="1:19" ht="22.05" customHeight="1" x14ac:dyDescent="0.3">
      <c r="A20" s="9"/>
      <c r="B20" s="9"/>
      <c r="C20" s="19">
        <v>17</v>
      </c>
      <c r="D20" s="114">
        <v>43265.708333333336</v>
      </c>
      <c r="E20" s="18">
        <v>1.8842652795838755</v>
      </c>
      <c r="F20" s="17">
        <v>9.0296924708377535</v>
      </c>
      <c r="G20" s="6">
        <v>10</v>
      </c>
      <c r="H20" s="6">
        <v>5</v>
      </c>
      <c r="I20" s="2">
        <v>0</v>
      </c>
      <c r="J20" s="2">
        <v>0</v>
      </c>
      <c r="K20" s="2">
        <v>0</v>
      </c>
      <c r="L20" s="5">
        <v>0</v>
      </c>
      <c r="M20" s="5">
        <v>0</v>
      </c>
      <c r="N20" s="130">
        <v>0</v>
      </c>
      <c r="O20" s="130">
        <v>0</v>
      </c>
      <c r="P20" s="56">
        <v>0</v>
      </c>
      <c r="Q20" s="56">
        <v>0</v>
      </c>
      <c r="R20" s="56">
        <v>0</v>
      </c>
      <c r="S20" s="56">
        <v>0</v>
      </c>
    </row>
    <row r="21" spans="1:19" ht="22.05" customHeight="1" x14ac:dyDescent="0.3">
      <c r="C21" s="19">
        <v>18</v>
      </c>
      <c r="D21" s="114">
        <v>43265.75</v>
      </c>
      <c r="E21" s="18">
        <v>3.5591677503250976</v>
      </c>
      <c r="F21" s="17">
        <v>7.6405090137857909</v>
      </c>
      <c r="G21" s="6">
        <v>10</v>
      </c>
      <c r="H21" s="6">
        <v>5</v>
      </c>
      <c r="I21" s="2">
        <v>0</v>
      </c>
      <c r="J21" s="2">
        <v>0</v>
      </c>
      <c r="K21" s="2">
        <v>0</v>
      </c>
      <c r="L21" s="5">
        <v>0</v>
      </c>
      <c r="M21" s="5">
        <v>0</v>
      </c>
      <c r="N21" s="130">
        <v>0</v>
      </c>
      <c r="O21" s="130">
        <v>0</v>
      </c>
      <c r="P21" s="56">
        <v>0</v>
      </c>
      <c r="Q21" s="56">
        <v>0</v>
      </c>
      <c r="R21" s="56">
        <v>0</v>
      </c>
      <c r="S21" s="56">
        <v>0</v>
      </c>
    </row>
    <row r="22" spans="1:19" ht="22.05" customHeight="1" x14ac:dyDescent="0.3">
      <c r="C22" s="19">
        <v>19</v>
      </c>
      <c r="D22" s="114">
        <v>43265.791666666664</v>
      </c>
      <c r="E22" s="18">
        <v>4.1274382314694416</v>
      </c>
      <c r="F22" s="17">
        <v>4.4453870625662786</v>
      </c>
      <c r="G22" s="6">
        <v>10</v>
      </c>
      <c r="H22" s="6">
        <v>5</v>
      </c>
      <c r="I22" s="2">
        <v>0</v>
      </c>
      <c r="J22" s="2">
        <v>0</v>
      </c>
      <c r="K22" s="2">
        <v>0</v>
      </c>
      <c r="L22" s="5">
        <v>0</v>
      </c>
      <c r="M22" s="5">
        <v>0</v>
      </c>
      <c r="N22" s="130">
        <v>0</v>
      </c>
      <c r="O22" s="130">
        <v>0</v>
      </c>
      <c r="P22" s="56">
        <v>0</v>
      </c>
      <c r="Q22" s="56">
        <v>0</v>
      </c>
      <c r="R22" s="56">
        <v>0</v>
      </c>
      <c r="S22" s="56">
        <v>0</v>
      </c>
    </row>
    <row r="23" spans="1:19" ht="22.05" customHeight="1" x14ac:dyDescent="0.3">
      <c r="C23" s="19">
        <v>20</v>
      </c>
      <c r="D23" s="114">
        <v>43265.833333333336</v>
      </c>
      <c r="E23" s="18">
        <v>4.247074122236671</v>
      </c>
      <c r="F23" s="17">
        <v>1.3891834570519619</v>
      </c>
      <c r="G23" s="6">
        <v>10</v>
      </c>
      <c r="H23" s="6">
        <v>5</v>
      </c>
      <c r="I23" s="2">
        <v>0</v>
      </c>
      <c r="J23" s="2">
        <v>0</v>
      </c>
      <c r="K23" s="2">
        <v>0</v>
      </c>
      <c r="L23" s="5">
        <v>0</v>
      </c>
      <c r="M23" s="5">
        <v>0</v>
      </c>
      <c r="N23" s="130">
        <v>0</v>
      </c>
      <c r="O23" s="130">
        <v>0</v>
      </c>
      <c r="P23" s="56">
        <v>0</v>
      </c>
      <c r="Q23" s="56">
        <v>0</v>
      </c>
      <c r="R23" s="56">
        <v>0</v>
      </c>
      <c r="S23" s="56">
        <v>0</v>
      </c>
    </row>
    <row r="24" spans="1:19" ht="22.05" customHeight="1" x14ac:dyDescent="0.3">
      <c r="C24" s="19">
        <v>21</v>
      </c>
      <c r="D24" s="114">
        <v>43265.875</v>
      </c>
      <c r="E24" s="18">
        <v>4.7323472041612433</v>
      </c>
      <c r="F24" s="17">
        <v>0</v>
      </c>
      <c r="G24" s="6">
        <v>10</v>
      </c>
      <c r="H24" s="6">
        <v>5</v>
      </c>
      <c r="I24" s="2">
        <v>0</v>
      </c>
      <c r="J24" s="2">
        <v>0</v>
      </c>
      <c r="K24" s="2">
        <v>0</v>
      </c>
      <c r="L24" s="5">
        <v>0</v>
      </c>
      <c r="M24" s="5">
        <v>0</v>
      </c>
      <c r="N24" s="130">
        <v>0</v>
      </c>
      <c r="O24" s="130">
        <v>0</v>
      </c>
      <c r="P24" s="56">
        <v>0</v>
      </c>
      <c r="Q24" s="56">
        <v>0</v>
      </c>
      <c r="R24" s="56">
        <v>0</v>
      </c>
      <c r="S24" s="56">
        <v>0</v>
      </c>
    </row>
    <row r="25" spans="1:19" ht="22.05" customHeight="1" x14ac:dyDescent="0.3">
      <c r="C25" s="19">
        <v>22</v>
      </c>
      <c r="D25" s="114">
        <v>43265.916666666664</v>
      </c>
      <c r="E25" s="18">
        <v>3.6257152145643645</v>
      </c>
      <c r="F25" s="17">
        <v>0</v>
      </c>
      <c r="G25" s="6">
        <v>10</v>
      </c>
      <c r="H25" s="6">
        <v>5</v>
      </c>
      <c r="I25" s="2">
        <v>0</v>
      </c>
      <c r="J25" s="2">
        <v>0</v>
      </c>
      <c r="K25" s="2">
        <v>0</v>
      </c>
      <c r="L25" s="5">
        <v>0</v>
      </c>
      <c r="M25" s="5">
        <v>0</v>
      </c>
      <c r="N25" s="130">
        <v>0</v>
      </c>
      <c r="O25" s="130">
        <v>0</v>
      </c>
      <c r="P25" s="56">
        <v>0</v>
      </c>
      <c r="Q25" s="56">
        <v>0</v>
      </c>
      <c r="R25" s="56">
        <v>0</v>
      </c>
      <c r="S25" s="56">
        <v>0</v>
      </c>
    </row>
    <row r="26" spans="1:19" ht="22.05" customHeight="1" x14ac:dyDescent="0.3">
      <c r="C26" s="19">
        <v>23</v>
      </c>
      <c r="D26" s="114">
        <v>43265.958333333336</v>
      </c>
      <c r="E26" s="18">
        <v>3.0507152145643697</v>
      </c>
      <c r="F26" s="17">
        <v>0</v>
      </c>
      <c r="G26" s="6">
        <v>10</v>
      </c>
      <c r="H26" s="6">
        <v>5</v>
      </c>
      <c r="I26" s="2">
        <v>0</v>
      </c>
      <c r="J26" s="2">
        <v>0</v>
      </c>
      <c r="K26" s="2">
        <v>0</v>
      </c>
      <c r="L26" s="5">
        <v>0</v>
      </c>
      <c r="M26" s="5">
        <v>0</v>
      </c>
      <c r="N26" s="130">
        <v>0</v>
      </c>
      <c r="O26" s="130">
        <v>0</v>
      </c>
      <c r="P26" s="56">
        <v>0</v>
      </c>
      <c r="Q26" s="56">
        <v>0</v>
      </c>
      <c r="R26" s="56">
        <v>0</v>
      </c>
      <c r="S26" s="56">
        <v>0</v>
      </c>
    </row>
    <row r="27" spans="1:19" ht="22.05" customHeight="1" x14ac:dyDescent="0.3">
      <c r="C27" s="19">
        <v>24</v>
      </c>
      <c r="D27" s="114">
        <v>43266</v>
      </c>
      <c r="E27" s="18">
        <v>2.7815344603381016</v>
      </c>
      <c r="F27" s="17">
        <v>0</v>
      </c>
      <c r="G27" s="6">
        <v>10</v>
      </c>
      <c r="H27" s="6">
        <v>5</v>
      </c>
      <c r="I27" s="2">
        <v>0</v>
      </c>
      <c r="J27" s="2">
        <v>0</v>
      </c>
      <c r="K27" s="2">
        <v>0</v>
      </c>
      <c r="L27" s="5">
        <v>0</v>
      </c>
      <c r="M27" s="5">
        <v>0</v>
      </c>
      <c r="N27" s="130">
        <v>0</v>
      </c>
      <c r="O27" s="130">
        <v>0</v>
      </c>
      <c r="P27" s="56">
        <v>0</v>
      </c>
      <c r="Q27" s="56">
        <v>0</v>
      </c>
      <c r="R27" s="56">
        <v>0</v>
      </c>
      <c r="S27" s="56">
        <v>0</v>
      </c>
    </row>
    <row r="28" spans="1:19" ht="22.05" customHeight="1" x14ac:dyDescent="0.3">
      <c r="C28" s="19"/>
      <c r="D28" s="34"/>
      <c r="E28" s="2"/>
      <c r="F28" s="2"/>
      <c r="G28" s="2"/>
      <c r="H28" s="18"/>
      <c r="I28" s="17"/>
      <c r="J28" s="5"/>
      <c r="K28" s="5"/>
      <c r="L28" s="6"/>
      <c r="M28" s="6"/>
      <c r="N28" s="56"/>
      <c r="O28" s="56"/>
      <c r="P28" s="56"/>
      <c r="Q28" s="56"/>
    </row>
    <row r="29" spans="1:19" ht="22.05" customHeight="1" x14ac:dyDescent="0.3">
      <c r="C29" s="19"/>
      <c r="D29" s="34"/>
      <c r="E29" s="2"/>
      <c r="F29" s="2"/>
      <c r="G29" s="2"/>
      <c r="H29" s="18"/>
      <c r="I29" s="17"/>
      <c r="J29" s="5"/>
      <c r="K29" s="5"/>
      <c r="L29" s="6"/>
      <c r="M29" s="6"/>
      <c r="N29" s="56"/>
      <c r="O29" s="56"/>
      <c r="P29" s="56"/>
      <c r="Q29" s="56"/>
    </row>
    <row r="30" spans="1:19" ht="22.05" customHeight="1" x14ac:dyDescent="0.3">
      <c r="C30" s="19"/>
      <c r="D30" s="34"/>
      <c r="E30" s="2"/>
      <c r="F30" s="2"/>
      <c r="G30" s="2"/>
      <c r="H30" s="18"/>
      <c r="I30" s="17"/>
      <c r="J30" s="5"/>
      <c r="K30" s="5"/>
      <c r="L30" s="6"/>
      <c r="M30" s="6"/>
      <c r="N30" s="56"/>
      <c r="O30" s="56"/>
      <c r="P30" s="56"/>
      <c r="Q30" s="56"/>
    </row>
    <row r="31" spans="1:19" ht="22.05" customHeight="1" x14ac:dyDescent="0.3">
      <c r="C31" s="19"/>
      <c r="D31" s="34"/>
      <c r="E31" s="2"/>
      <c r="F31" s="2"/>
      <c r="G31" s="2"/>
      <c r="H31" s="18"/>
      <c r="I31" s="17"/>
      <c r="J31" s="5"/>
      <c r="K31" s="5"/>
      <c r="L31" s="6"/>
      <c r="M31" s="6"/>
      <c r="N31" s="56"/>
      <c r="O31" s="56"/>
      <c r="P31" s="56"/>
      <c r="Q31" s="56"/>
    </row>
    <row r="32" spans="1:19" ht="22.05" customHeight="1" x14ac:dyDescent="0.3">
      <c r="C32" s="19"/>
      <c r="D32" s="34"/>
      <c r="E32" s="2"/>
      <c r="F32" s="2"/>
      <c r="G32" s="2"/>
      <c r="H32" s="18"/>
      <c r="I32" s="17"/>
      <c r="J32" s="5"/>
      <c r="K32" s="5"/>
      <c r="L32" s="6"/>
      <c r="M32" s="6"/>
      <c r="N32" s="56"/>
      <c r="O32" s="56"/>
      <c r="P32" s="56"/>
      <c r="Q32" s="56"/>
    </row>
    <row r="33" spans="3:17" ht="22.05" customHeight="1" x14ac:dyDescent="0.3">
      <c r="C33" s="19"/>
      <c r="D33" s="34"/>
      <c r="E33" s="2"/>
      <c r="F33" s="2"/>
      <c r="G33" s="2"/>
      <c r="H33" s="18"/>
      <c r="I33" s="17"/>
      <c r="J33" s="5"/>
      <c r="K33" s="5"/>
      <c r="L33" s="6"/>
      <c r="M33" s="6"/>
      <c r="N33" s="56"/>
      <c r="O33" s="56"/>
      <c r="P33" s="56"/>
      <c r="Q33" s="56"/>
    </row>
    <row r="34" spans="3:17" ht="22.05" customHeight="1" x14ac:dyDescent="0.3">
      <c r="C34" s="19"/>
      <c r="D34" s="34"/>
      <c r="E34" s="2"/>
      <c r="F34" s="2"/>
      <c r="G34" s="2"/>
      <c r="H34" s="18"/>
      <c r="I34" s="17"/>
      <c r="J34" s="5"/>
      <c r="K34" s="5"/>
      <c r="L34" s="6"/>
      <c r="M34" s="6"/>
      <c r="N34" s="56"/>
      <c r="O34" s="56"/>
      <c r="P34" s="56"/>
      <c r="Q34" s="56"/>
    </row>
    <row r="35" spans="3:17" ht="22.05" customHeight="1" x14ac:dyDescent="0.3">
      <c r="C35" s="19"/>
      <c r="D35" s="34"/>
      <c r="E35" s="2"/>
      <c r="F35" s="2"/>
      <c r="G35" s="2"/>
      <c r="H35" s="18"/>
      <c r="I35" s="17"/>
      <c r="J35" s="5"/>
      <c r="K35" s="5"/>
      <c r="L35" s="6"/>
      <c r="M35" s="6"/>
      <c r="N35" s="56"/>
      <c r="O35" s="56"/>
      <c r="P35" s="56"/>
      <c r="Q35" s="56"/>
    </row>
    <row r="36" spans="3:17" ht="22.05" customHeight="1" x14ac:dyDescent="0.3">
      <c r="C36" s="19"/>
      <c r="D36" s="34"/>
      <c r="E36" s="2"/>
      <c r="F36" s="2"/>
      <c r="G36" s="2"/>
      <c r="H36" s="18"/>
      <c r="I36" s="17"/>
      <c r="J36" s="5"/>
      <c r="K36" s="5"/>
      <c r="L36" s="6"/>
      <c r="M36" s="6"/>
      <c r="N36" s="56"/>
      <c r="O36" s="56"/>
      <c r="P36" s="56"/>
      <c r="Q36" s="56"/>
    </row>
    <row r="37" spans="3:17" ht="22.05" customHeight="1" x14ac:dyDescent="0.3">
      <c r="C37" s="19"/>
      <c r="D37" s="34"/>
      <c r="E37" s="2"/>
      <c r="F37" s="2"/>
      <c r="G37" s="2"/>
      <c r="H37" s="18"/>
      <c r="I37" s="17"/>
      <c r="J37" s="5"/>
      <c r="K37" s="5"/>
      <c r="L37" s="6"/>
      <c r="M37" s="6"/>
      <c r="N37" s="56"/>
      <c r="O37" s="56"/>
      <c r="P37" s="56"/>
      <c r="Q37" s="56"/>
    </row>
    <row r="38" spans="3:17" ht="22.05" customHeight="1" x14ac:dyDescent="0.3">
      <c r="C38" s="19"/>
      <c r="D38" s="34"/>
      <c r="E38" s="2"/>
      <c r="F38" s="2"/>
      <c r="G38" s="2"/>
      <c r="H38" s="18"/>
      <c r="I38" s="17"/>
      <c r="J38" s="5"/>
      <c r="K38" s="5"/>
      <c r="L38" s="6"/>
      <c r="M38" s="6"/>
      <c r="N38" s="56"/>
      <c r="O38" s="56"/>
      <c r="P38" s="56"/>
      <c r="Q38" s="56"/>
    </row>
    <row r="39" spans="3:17" ht="22.05" customHeight="1" x14ac:dyDescent="0.3">
      <c r="C39" s="19"/>
      <c r="D39" s="34"/>
      <c r="E39" s="2"/>
      <c r="F39" s="2"/>
      <c r="G39" s="2"/>
      <c r="H39" s="18"/>
      <c r="I39" s="17"/>
      <c r="J39" s="5"/>
      <c r="K39" s="5"/>
      <c r="L39" s="6"/>
      <c r="M39" s="6"/>
      <c r="N39" s="56"/>
      <c r="O39" s="56"/>
      <c r="P39" s="56"/>
      <c r="Q39" s="56"/>
    </row>
    <row r="40" spans="3:17" ht="22.05" customHeight="1" x14ac:dyDescent="0.3">
      <c r="C40" s="19"/>
      <c r="D40" s="34"/>
      <c r="E40" s="2"/>
      <c r="F40" s="2"/>
      <c r="G40" s="2"/>
      <c r="H40" s="18"/>
      <c r="I40" s="17"/>
      <c r="J40" s="5"/>
      <c r="K40" s="5"/>
      <c r="L40" s="6"/>
      <c r="M40" s="6"/>
      <c r="N40" s="56"/>
      <c r="O40" s="56"/>
      <c r="P40" s="56"/>
      <c r="Q40" s="56"/>
    </row>
    <row r="41" spans="3:17" ht="22.05" customHeight="1" x14ac:dyDescent="0.3">
      <c r="C41" s="19"/>
      <c r="D41" s="34"/>
      <c r="E41" s="2"/>
      <c r="F41" s="2"/>
      <c r="G41" s="2"/>
      <c r="H41" s="18"/>
      <c r="I41" s="17"/>
      <c r="J41" s="5"/>
      <c r="K41" s="5"/>
      <c r="L41" s="6"/>
      <c r="M41" s="6"/>
      <c r="N41" s="56"/>
      <c r="O41" s="56"/>
      <c r="P41" s="56"/>
      <c r="Q41" s="56"/>
    </row>
    <row r="42" spans="3:17" ht="22.05" customHeight="1" x14ac:dyDescent="0.3">
      <c r="C42" s="19"/>
      <c r="D42" s="34"/>
      <c r="E42" s="2"/>
      <c r="F42" s="2"/>
      <c r="G42" s="2"/>
      <c r="H42" s="18"/>
      <c r="I42" s="17"/>
      <c r="J42" s="5"/>
      <c r="K42" s="5"/>
      <c r="L42" s="6"/>
      <c r="M42" s="6"/>
      <c r="N42" s="56"/>
      <c r="O42" s="56"/>
      <c r="P42" s="56"/>
      <c r="Q42" s="56"/>
    </row>
    <row r="43" spans="3:17" ht="22.05" customHeight="1" x14ac:dyDescent="0.3">
      <c r="C43" s="19"/>
      <c r="D43" s="34"/>
      <c r="E43" s="2"/>
      <c r="F43" s="2"/>
      <c r="G43" s="2"/>
      <c r="H43" s="18"/>
      <c r="I43" s="17"/>
      <c r="J43" s="5"/>
      <c r="K43" s="5"/>
      <c r="L43" s="6"/>
      <c r="M43" s="6"/>
      <c r="N43" s="56"/>
      <c r="O43" s="56"/>
      <c r="P43" s="56"/>
      <c r="Q43" s="56"/>
    </row>
    <row r="44" spans="3:17" ht="22.05" customHeight="1" x14ac:dyDescent="0.3">
      <c r="C44" s="19"/>
      <c r="D44" s="34"/>
      <c r="E44" s="2"/>
      <c r="F44" s="2"/>
      <c r="G44" s="2"/>
      <c r="H44" s="18"/>
      <c r="I44" s="17"/>
      <c r="J44" s="5"/>
      <c r="K44" s="5"/>
      <c r="L44" s="6"/>
      <c r="M44" s="6"/>
      <c r="N44" s="56"/>
      <c r="O44" s="56"/>
      <c r="P44" s="56"/>
      <c r="Q44" s="56"/>
    </row>
    <row r="45" spans="3:17" ht="22.05" customHeight="1" x14ac:dyDescent="0.3">
      <c r="C45" s="19"/>
      <c r="D45" s="34"/>
      <c r="E45" s="2"/>
      <c r="F45" s="2"/>
      <c r="G45" s="2"/>
      <c r="H45" s="18"/>
      <c r="I45" s="17"/>
      <c r="J45" s="5"/>
      <c r="K45" s="5"/>
      <c r="L45" s="6"/>
      <c r="M45" s="6"/>
      <c r="N45" s="56"/>
      <c r="O45" s="56"/>
      <c r="P45" s="56"/>
      <c r="Q45" s="56"/>
    </row>
    <row r="46" spans="3:17" ht="22.05" customHeight="1" x14ac:dyDescent="0.3">
      <c r="C46" s="19"/>
      <c r="D46" s="34"/>
      <c r="E46" s="2"/>
      <c r="F46" s="2"/>
      <c r="G46" s="2"/>
      <c r="H46" s="18"/>
      <c r="I46" s="17"/>
      <c r="J46" s="5"/>
      <c r="K46" s="5"/>
      <c r="L46" s="6"/>
      <c r="M46" s="6"/>
      <c r="N46" s="56"/>
      <c r="O46" s="56"/>
      <c r="P46" s="56"/>
      <c r="Q46" s="56"/>
    </row>
    <row r="47" spans="3:17" ht="22.05" customHeight="1" x14ac:dyDescent="0.3">
      <c r="C47" s="19"/>
      <c r="D47" s="34"/>
      <c r="E47" s="2"/>
      <c r="F47" s="2"/>
      <c r="G47" s="2"/>
      <c r="H47" s="18"/>
      <c r="I47" s="17"/>
      <c r="J47" s="5"/>
      <c r="K47" s="5"/>
      <c r="L47" s="6"/>
      <c r="M47" s="6"/>
      <c r="N47" s="56"/>
      <c r="O47" s="56"/>
      <c r="P47" s="56"/>
      <c r="Q47" s="56"/>
    </row>
    <row r="48" spans="3:17" ht="22.05" customHeight="1" x14ac:dyDescent="0.3">
      <c r="C48" s="19"/>
      <c r="D48" s="34"/>
      <c r="E48" s="2"/>
      <c r="F48" s="2"/>
      <c r="G48" s="2"/>
      <c r="H48" s="18"/>
      <c r="I48" s="17"/>
      <c r="J48" s="5"/>
      <c r="K48" s="5"/>
      <c r="L48" s="6"/>
      <c r="M48" s="6"/>
      <c r="N48" s="56"/>
      <c r="O48" s="56"/>
      <c r="P48" s="56"/>
      <c r="Q48" s="56"/>
    </row>
    <row r="49" spans="3:17" ht="22.05" customHeight="1" x14ac:dyDescent="0.3">
      <c r="C49" s="19"/>
      <c r="D49" s="34"/>
      <c r="E49" s="2"/>
      <c r="F49" s="2"/>
      <c r="G49" s="2"/>
      <c r="H49" s="18"/>
      <c r="I49" s="17"/>
      <c r="J49" s="5"/>
      <c r="K49" s="5"/>
      <c r="L49" s="6"/>
      <c r="M49" s="6"/>
      <c r="N49" s="56"/>
      <c r="O49" s="56"/>
      <c r="P49" s="56"/>
      <c r="Q49" s="56"/>
    </row>
    <row r="50" spans="3:17" ht="22.05" customHeight="1" x14ac:dyDescent="0.3">
      <c r="C50" s="19"/>
      <c r="D50" s="34"/>
      <c r="E50" s="2"/>
      <c r="F50" s="2"/>
      <c r="G50" s="2"/>
      <c r="H50" s="18"/>
      <c r="I50" s="17"/>
      <c r="J50" s="5"/>
      <c r="K50" s="5"/>
      <c r="L50" s="6"/>
      <c r="M50" s="6"/>
      <c r="N50" s="56"/>
      <c r="O50" s="56"/>
      <c r="P50" s="56"/>
      <c r="Q50" s="56"/>
    </row>
    <row r="51" spans="3:17" ht="22.05" customHeight="1" x14ac:dyDescent="0.3">
      <c r="C51" s="19"/>
      <c r="D51" s="34"/>
      <c r="E51" s="2"/>
      <c r="F51" s="2"/>
      <c r="G51" s="2"/>
      <c r="H51" s="18"/>
      <c r="I51" s="17"/>
      <c r="J51" s="5"/>
      <c r="K51" s="5"/>
      <c r="L51" s="6"/>
      <c r="M51" s="6"/>
      <c r="N51" s="56"/>
      <c r="O51" s="56"/>
      <c r="P51" s="56"/>
      <c r="Q51" s="56"/>
    </row>
    <row r="52" spans="3:17" ht="22.05" customHeight="1" x14ac:dyDescent="0.3">
      <c r="C52" s="19"/>
      <c r="D52" s="34"/>
      <c r="E52" s="2"/>
      <c r="F52" s="2"/>
      <c r="G52" s="2"/>
      <c r="H52" s="18"/>
      <c r="I52" s="17"/>
      <c r="J52" s="5"/>
      <c r="K52" s="5"/>
      <c r="L52" s="6"/>
      <c r="M52" s="6"/>
      <c r="N52" s="56"/>
      <c r="O52" s="56"/>
      <c r="P52" s="56"/>
      <c r="Q52" s="56"/>
    </row>
    <row r="53" spans="3:17" ht="22.05" customHeight="1" x14ac:dyDescent="0.3">
      <c r="C53" s="19"/>
      <c r="D53" s="34"/>
      <c r="E53" s="2"/>
      <c r="F53" s="2"/>
      <c r="G53" s="2"/>
      <c r="H53" s="18"/>
      <c r="I53" s="17"/>
      <c r="J53" s="5"/>
      <c r="K53" s="5"/>
      <c r="L53" s="6"/>
      <c r="M53" s="6"/>
      <c r="N53" s="56"/>
      <c r="O53" s="56"/>
      <c r="P53" s="56"/>
      <c r="Q53" s="56"/>
    </row>
    <row r="54" spans="3:17" ht="22.05" customHeight="1" x14ac:dyDescent="0.3">
      <c r="C54" s="19"/>
      <c r="D54" s="34"/>
      <c r="E54" s="2"/>
      <c r="F54" s="2"/>
      <c r="G54" s="2"/>
      <c r="H54" s="18"/>
      <c r="I54" s="17"/>
      <c r="J54" s="5"/>
      <c r="K54" s="5"/>
      <c r="L54" s="6"/>
      <c r="M54" s="6"/>
      <c r="N54" s="56"/>
      <c r="O54" s="56"/>
      <c r="P54" s="56"/>
      <c r="Q54" s="56"/>
    </row>
    <row r="55" spans="3:17" ht="22.05" customHeight="1" x14ac:dyDescent="0.3">
      <c r="C55" s="19"/>
      <c r="D55" s="34"/>
      <c r="E55" s="2"/>
      <c r="F55" s="2"/>
      <c r="G55" s="2"/>
      <c r="H55" s="18"/>
      <c r="I55" s="17"/>
      <c r="J55" s="5"/>
      <c r="K55" s="5"/>
      <c r="L55" s="6"/>
      <c r="M55" s="6"/>
      <c r="N55" s="56"/>
      <c r="O55" s="56"/>
      <c r="P55" s="56"/>
      <c r="Q55" s="56"/>
    </row>
    <row r="56" spans="3:17" ht="22.05" customHeight="1" x14ac:dyDescent="0.3">
      <c r="C56" s="19"/>
      <c r="D56" s="34"/>
      <c r="E56" s="2"/>
      <c r="F56" s="2"/>
      <c r="G56" s="2"/>
      <c r="H56" s="18"/>
      <c r="I56" s="17"/>
      <c r="J56" s="5"/>
      <c r="K56" s="5"/>
      <c r="L56" s="6"/>
      <c r="M56" s="6"/>
      <c r="N56" s="56"/>
      <c r="O56" s="56"/>
      <c r="P56" s="56"/>
      <c r="Q56" s="56"/>
    </row>
    <row r="57" spans="3:17" ht="22.05" customHeight="1" x14ac:dyDescent="0.3">
      <c r="C57" s="19"/>
      <c r="D57" s="34"/>
      <c r="E57" s="2"/>
      <c r="F57" s="2"/>
      <c r="G57" s="2"/>
      <c r="H57" s="18"/>
      <c r="I57" s="17"/>
      <c r="J57" s="5"/>
      <c r="K57" s="5"/>
      <c r="L57" s="6"/>
      <c r="M57" s="6"/>
      <c r="N57" s="56"/>
      <c r="O57" s="56"/>
      <c r="P57" s="56"/>
      <c r="Q57" s="56"/>
    </row>
    <row r="58" spans="3:17" ht="22.05" customHeight="1" x14ac:dyDescent="0.3">
      <c r="C58" s="19"/>
      <c r="D58" s="34"/>
      <c r="E58" s="2"/>
      <c r="F58" s="2"/>
      <c r="G58" s="2"/>
      <c r="H58" s="18"/>
      <c r="I58" s="17"/>
      <c r="J58" s="5"/>
      <c r="K58" s="5"/>
      <c r="L58" s="6"/>
      <c r="M58" s="6"/>
      <c r="N58" s="56"/>
      <c r="O58" s="56"/>
      <c r="P58" s="56"/>
      <c r="Q58" s="56"/>
    </row>
    <row r="59" spans="3:17" ht="22.05" customHeight="1" x14ac:dyDescent="0.3">
      <c r="C59" s="19"/>
      <c r="D59" s="34"/>
      <c r="E59" s="2"/>
      <c r="F59" s="2"/>
      <c r="G59" s="2"/>
      <c r="H59" s="18"/>
      <c r="I59" s="17"/>
      <c r="J59" s="5"/>
      <c r="K59" s="5"/>
      <c r="L59" s="6"/>
      <c r="M59" s="6"/>
      <c r="N59" s="56"/>
      <c r="O59" s="56"/>
      <c r="P59" s="56"/>
      <c r="Q59" s="56"/>
    </row>
    <row r="60" spans="3:17" ht="22.05" customHeight="1" x14ac:dyDescent="0.3">
      <c r="C60" s="19"/>
      <c r="D60" s="34"/>
      <c r="E60" s="2"/>
      <c r="F60" s="2"/>
      <c r="G60" s="2"/>
      <c r="H60" s="18"/>
      <c r="I60" s="17"/>
      <c r="J60" s="5"/>
      <c r="K60" s="5"/>
      <c r="L60" s="6"/>
      <c r="M60" s="6"/>
      <c r="N60" s="56"/>
      <c r="O60" s="56"/>
      <c r="P60" s="56"/>
      <c r="Q60" s="56"/>
    </row>
    <row r="61" spans="3:17" ht="22.05" customHeight="1" x14ac:dyDescent="0.3">
      <c r="C61" s="19"/>
      <c r="D61" s="34"/>
      <c r="E61" s="2"/>
      <c r="F61" s="2"/>
      <c r="G61" s="2"/>
      <c r="H61" s="18"/>
      <c r="I61" s="17"/>
      <c r="J61" s="5"/>
      <c r="K61" s="5"/>
      <c r="L61" s="6"/>
      <c r="M61" s="6"/>
      <c r="N61" s="56"/>
      <c r="O61" s="56"/>
      <c r="P61" s="56"/>
      <c r="Q61" s="56"/>
    </row>
    <row r="62" spans="3:17" ht="22.05" customHeight="1" x14ac:dyDescent="0.3">
      <c r="C62" s="19"/>
      <c r="D62" s="34"/>
      <c r="E62" s="2"/>
      <c r="F62" s="2"/>
      <c r="G62" s="2"/>
      <c r="H62" s="18"/>
      <c r="I62" s="17"/>
      <c r="J62" s="5"/>
      <c r="K62" s="5"/>
      <c r="L62" s="6"/>
      <c r="M62" s="6"/>
      <c r="N62" s="56"/>
      <c r="O62" s="56"/>
      <c r="P62" s="56"/>
      <c r="Q62" s="56"/>
    </row>
    <row r="63" spans="3:17" ht="22.05" customHeight="1" x14ac:dyDescent="0.3">
      <c r="C63" s="19"/>
      <c r="D63" s="34"/>
      <c r="E63" s="2"/>
      <c r="F63" s="2"/>
      <c r="G63" s="2"/>
      <c r="H63" s="18"/>
      <c r="I63" s="17"/>
      <c r="J63" s="5"/>
      <c r="K63" s="5"/>
      <c r="L63" s="6"/>
      <c r="M63" s="6"/>
      <c r="N63" s="56"/>
      <c r="O63" s="56"/>
      <c r="P63" s="56"/>
      <c r="Q63" s="56"/>
    </row>
    <row r="64" spans="3:17" ht="22.05" customHeight="1" x14ac:dyDescent="0.3">
      <c r="C64" s="19"/>
      <c r="D64" s="34"/>
      <c r="E64" s="2"/>
      <c r="F64" s="2"/>
      <c r="G64" s="2"/>
      <c r="H64" s="18"/>
      <c r="I64" s="17"/>
      <c r="J64" s="5"/>
      <c r="K64" s="5"/>
      <c r="L64" s="6"/>
      <c r="M64" s="6"/>
      <c r="N64" s="56"/>
      <c r="O64" s="56"/>
      <c r="P64" s="56"/>
      <c r="Q64" s="56"/>
    </row>
    <row r="65" spans="3:17" ht="22.05" customHeight="1" x14ac:dyDescent="0.3">
      <c r="C65" s="19"/>
      <c r="D65" s="34"/>
      <c r="E65" s="2"/>
      <c r="F65" s="2"/>
      <c r="G65" s="2"/>
      <c r="H65" s="18"/>
      <c r="I65" s="17"/>
      <c r="J65" s="5"/>
      <c r="K65" s="5"/>
      <c r="L65" s="6"/>
      <c r="M65" s="6"/>
      <c r="N65" s="56"/>
      <c r="O65" s="56"/>
      <c r="P65" s="56"/>
      <c r="Q65" s="56"/>
    </row>
    <row r="66" spans="3:17" ht="22.05" customHeight="1" x14ac:dyDescent="0.3">
      <c r="C66" s="19"/>
      <c r="D66" s="34"/>
      <c r="E66" s="2"/>
      <c r="F66" s="2"/>
      <c r="G66" s="2"/>
      <c r="H66" s="18"/>
      <c r="I66" s="17"/>
      <c r="J66" s="5"/>
      <c r="K66" s="5"/>
      <c r="L66" s="6"/>
      <c r="M66" s="6"/>
      <c r="N66" s="56"/>
      <c r="O66" s="56"/>
      <c r="P66" s="56"/>
      <c r="Q66" s="56"/>
    </row>
    <row r="67" spans="3:17" ht="22.05" customHeight="1" x14ac:dyDescent="0.3">
      <c r="C67" s="19"/>
      <c r="D67" s="34"/>
      <c r="E67" s="2"/>
      <c r="F67" s="2"/>
      <c r="G67" s="2"/>
      <c r="H67" s="18"/>
      <c r="I67" s="17"/>
      <c r="J67" s="5"/>
      <c r="K67" s="5"/>
      <c r="L67" s="6"/>
      <c r="M67" s="6"/>
      <c r="N67" s="56"/>
      <c r="O67" s="56"/>
      <c r="P67" s="56"/>
      <c r="Q67" s="56"/>
    </row>
    <row r="68" spans="3:17" ht="22.05" customHeight="1" x14ac:dyDescent="0.3">
      <c r="C68" s="19"/>
      <c r="D68" s="34"/>
      <c r="E68" s="2"/>
      <c r="F68" s="2"/>
      <c r="G68" s="2"/>
      <c r="H68" s="18"/>
      <c r="I68" s="17"/>
      <c r="J68" s="5"/>
      <c r="K68" s="5"/>
      <c r="L68" s="6"/>
      <c r="M68" s="6"/>
      <c r="N68" s="56"/>
      <c r="O68" s="56"/>
      <c r="P68" s="56"/>
      <c r="Q68" s="56"/>
    </row>
    <row r="69" spans="3:17" ht="22.05" customHeight="1" x14ac:dyDescent="0.3">
      <c r="C69" s="19"/>
      <c r="D69" s="34"/>
      <c r="E69" s="2"/>
      <c r="F69" s="2"/>
      <c r="G69" s="2"/>
      <c r="H69" s="18"/>
      <c r="I69" s="17"/>
      <c r="J69" s="5"/>
      <c r="K69" s="5"/>
      <c r="L69" s="6"/>
      <c r="M69" s="6"/>
      <c r="N69" s="56"/>
      <c r="O69" s="56"/>
      <c r="P69" s="56"/>
      <c r="Q69" s="56"/>
    </row>
    <row r="70" spans="3:17" ht="22.05" customHeight="1" x14ac:dyDescent="0.3">
      <c r="C70" s="19"/>
      <c r="D70" s="34"/>
      <c r="E70" s="2"/>
      <c r="F70" s="2"/>
      <c r="G70" s="2"/>
      <c r="H70" s="18"/>
      <c r="I70" s="17"/>
      <c r="J70" s="5"/>
      <c r="K70" s="5"/>
      <c r="L70" s="6"/>
      <c r="M70" s="6"/>
      <c r="N70" s="56"/>
      <c r="O70" s="56"/>
      <c r="P70" s="56"/>
      <c r="Q70" s="56"/>
    </row>
    <row r="71" spans="3:17" ht="22.05" customHeight="1" x14ac:dyDescent="0.3">
      <c r="C71" s="19"/>
      <c r="D71" s="34"/>
      <c r="E71" s="2"/>
      <c r="F71" s="2"/>
      <c r="G71" s="2"/>
      <c r="H71" s="18"/>
      <c r="I71" s="17"/>
      <c r="J71" s="5"/>
      <c r="K71" s="5"/>
      <c r="L71" s="6"/>
      <c r="M71" s="6"/>
      <c r="N71" s="56"/>
      <c r="O71" s="56"/>
      <c r="P71" s="56"/>
      <c r="Q71" s="56"/>
    </row>
    <row r="72" spans="3:17" ht="22.05" customHeight="1" x14ac:dyDescent="0.3">
      <c r="C72" s="19"/>
      <c r="D72" s="34"/>
      <c r="E72" s="2"/>
      <c r="F72" s="2"/>
      <c r="G72" s="2"/>
      <c r="H72" s="18"/>
      <c r="I72" s="17"/>
      <c r="J72" s="5"/>
      <c r="K72" s="5"/>
      <c r="L72" s="6"/>
      <c r="M72" s="6"/>
      <c r="N72" s="56"/>
      <c r="O72" s="56"/>
      <c r="P72" s="56"/>
      <c r="Q72" s="56"/>
    </row>
    <row r="73" spans="3:17" ht="22.05" customHeight="1" x14ac:dyDescent="0.3">
      <c r="C73" s="19"/>
      <c r="D73" s="34"/>
      <c r="E73" s="2"/>
      <c r="F73" s="2"/>
      <c r="G73" s="2"/>
      <c r="H73" s="18"/>
      <c r="I73" s="17"/>
      <c r="J73" s="5"/>
      <c r="K73" s="5"/>
      <c r="L73" s="6"/>
      <c r="M73" s="6"/>
      <c r="N73" s="56"/>
      <c r="O73" s="56"/>
      <c r="P73" s="56"/>
      <c r="Q73" s="56"/>
    </row>
    <row r="74" spans="3:17" ht="22.05" customHeight="1" x14ac:dyDescent="0.3">
      <c r="C74" s="19"/>
      <c r="D74" s="34"/>
      <c r="E74" s="2"/>
      <c r="F74" s="2"/>
      <c r="G74" s="2"/>
      <c r="H74" s="18"/>
      <c r="I74" s="17"/>
      <c r="J74" s="5"/>
      <c r="K74" s="5"/>
      <c r="L74" s="6"/>
      <c r="M74" s="6"/>
      <c r="N74" s="56"/>
      <c r="O74" s="56"/>
      <c r="P74" s="56"/>
      <c r="Q74" s="56"/>
    </row>
    <row r="75" spans="3:17" ht="22.05" customHeight="1" x14ac:dyDescent="0.3">
      <c r="C75" s="19"/>
      <c r="D75" s="34"/>
      <c r="E75" s="2"/>
      <c r="F75" s="2"/>
      <c r="G75" s="2"/>
      <c r="H75" s="18"/>
      <c r="I75" s="17"/>
      <c r="J75" s="5"/>
      <c r="K75" s="5"/>
      <c r="L75" s="6"/>
      <c r="M75" s="6"/>
      <c r="N75" s="56"/>
      <c r="O75" s="56"/>
      <c r="P75" s="56"/>
      <c r="Q75" s="56"/>
    </row>
    <row r="76" spans="3:17" ht="22.05" customHeight="1" x14ac:dyDescent="0.3">
      <c r="C76" s="19"/>
      <c r="D76" s="34"/>
      <c r="E76" s="2"/>
      <c r="F76" s="2"/>
      <c r="G76" s="2"/>
      <c r="H76" s="18"/>
      <c r="I76" s="17"/>
      <c r="J76" s="5"/>
      <c r="K76" s="5"/>
      <c r="L76" s="6"/>
      <c r="M76" s="6"/>
      <c r="N76" s="56"/>
      <c r="O76" s="56"/>
      <c r="P76" s="56"/>
      <c r="Q76" s="56"/>
    </row>
    <row r="77" spans="3:17" ht="22.05" customHeight="1" x14ac:dyDescent="0.3">
      <c r="C77" s="19"/>
      <c r="D77" s="34"/>
      <c r="E77" s="2"/>
      <c r="F77" s="2"/>
      <c r="G77" s="2"/>
      <c r="H77" s="18"/>
      <c r="I77" s="17"/>
      <c r="J77" s="5"/>
      <c r="K77" s="5"/>
      <c r="L77" s="6"/>
      <c r="M77" s="6"/>
      <c r="N77" s="56"/>
      <c r="O77" s="56"/>
      <c r="P77" s="56"/>
      <c r="Q77" s="56"/>
    </row>
    <row r="78" spans="3:17" ht="22.05" customHeight="1" x14ac:dyDescent="0.3">
      <c r="C78" s="19"/>
      <c r="D78" s="34"/>
      <c r="E78" s="2"/>
      <c r="F78" s="2"/>
      <c r="G78" s="2"/>
      <c r="H78" s="18"/>
      <c r="I78" s="17"/>
      <c r="J78" s="5"/>
      <c r="K78" s="5"/>
      <c r="L78" s="6"/>
      <c r="M78" s="6"/>
      <c r="N78" s="56"/>
      <c r="O78" s="56"/>
      <c r="P78" s="56"/>
      <c r="Q78" s="56"/>
    </row>
    <row r="79" spans="3:17" ht="22.05" customHeight="1" x14ac:dyDescent="0.3">
      <c r="C79" s="19"/>
      <c r="D79" s="34"/>
      <c r="E79" s="2"/>
      <c r="F79" s="2"/>
      <c r="G79" s="2"/>
      <c r="H79" s="18"/>
      <c r="I79" s="17"/>
      <c r="J79" s="5"/>
      <c r="K79" s="5"/>
      <c r="L79" s="6"/>
      <c r="M79" s="6"/>
      <c r="N79" s="56"/>
      <c r="O79" s="56"/>
      <c r="P79" s="56"/>
      <c r="Q79" s="56"/>
    </row>
    <row r="80" spans="3:17" ht="22.05" customHeight="1" x14ac:dyDescent="0.3">
      <c r="C80" s="19"/>
      <c r="D80" s="34"/>
      <c r="E80" s="2"/>
      <c r="F80" s="2"/>
      <c r="G80" s="2"/>
      <c r="H80" s="18"/>
      <c r="I80" s="17"/>
      <c r="J80" s="5"/>
      <c r="K80" s="5"/>
      <c r="L80" s="6"/>
      <c r="M80" s="6"/>
      <c r="N80" s="56"/>
      <c r="O80" s="56"/>
      <c r="P80" s="56"/>
      <c r="Q80" s="56"/>
    </row>
    <row r="81" spans="3:17" ht="22.05" customHeight="1" x14ac:dyDescent="0.3">
      <c r="C81" s="19"/>
      <c r="D81" s="34"/>
      <c r="E81" s="2"/>
      <c r="F81" s="2"/>
      <c r="G81" s="2"/>
      <c r="H81" s="18"/>
      <c r="I81" s="17"/>
      <c r="J81" s="5"/>
      <c r="K81" s="5"/>
      <c r="L81" s="6"/>
      <c r="M81" s="6"/>
      <c r="N81" s="56"/>
      <c r="O81" s="56"/>
      <c r="P81" s="56"/>
      <c r="Q81" s="56"/>
    </row>
    <row r="82" spans="3:17" ht="22.05" customHeight="1" x14ac:dyDescent="0.3">
      <c r="C82" s="19"/>
      <c r="D82" s="34"/>
      <c r="E82" s="2"/>
      <c r="F82" s="2"/>
      <c r="G82" s="2"/>
      <c r="H82" s="18"/>
      <c r="I82" s="17"/>
      <c r="J82" s="5"/>
      <c r="K82" s="5"/>
      <c r="L82" s="6"/>
      <c r="M82" s="6"/>
      <c r="N82" s="56"/>
      <c r="O82" s="56"/>
      <c r="P82" s="56"/>
      <c r="Q82" s="56"/>
    </row>
    <row r="83" spans="3:17" ht="22.05" customHeight="1" x14ac:dyDescent="0.3">
      <c r="C83" s="19"/>
      <c r="D83" s="34"/>
      <c r="E83" s="2"/>
      <c r="F83" s="2"/>
      <c r="G83" s="2"/>
      <c r="H83" s="18"/>
      <c r="I83" s="17"/>
      <c r="J83" s="5"/>
      <c r="K83" s="5"/>
      <c r="L83" s="6"/>
      <c r="M83" s="6"/>
      <c r="N83" s="56"/>
      <c r="O83" s="56"/>
      <c r="P83" s="56"/>
      <c r="Q83" s="56"/>
    </row>
    <row r="84" spans="3:17" ht="22.05" customHeight="1" x14ac:dyDescent="0.3">
      <c r="C84" s="19"/>
      <c r="D84" s="34"/>
      <c r="E84" s="2"/>
      <c r="F84" s="2"/>
      <c r="G84" s="2"/>
      <c r="H84" s="18"/>
      <c r="I84" s="17"/>
      <c r="J84" s="5"/>
      <c r="K84" s="5"/>
      <c r="L84" s="6"/>
      <c r="M84" s="6"/>
      <c r="N84" s="56"/>
      <c r="O84" s="56"/>
      <c r="P84" s="56"/>
      <c r="Q84" s="56"/>
    </row>
    <row r="85" spans="3:17" ht="22.05" customHeight="1" x14ac:dyDescent="0.3">
      <c r="C85" s="19"/>
      <c r="D85" s="34"/>
      <c r="E85" s="2"/>
      <c r="F85" s="2"/>
      <c r="G85" s="2"/>
      <c r="H85" s="18"/>
      <c r="I85" s="17"/>
      <c r="J85" s="5"/>
      <c r="K85" s="5"/>
      <c r="L85" s="6"/>
      <c r="M85" s="6"/>
      <c r="N85" s="56"/>
      <c r="O85" s="56"/>
      <c r="P85" s="56"/>
      <c r="Q85" s="56"/>
    </row>
    <row r="86" spans="3:17" ht="22.05" customHeight="1" x14ac:dyDescent="0.3">
      <c r="C86" s="19"/>
      <c r="D86" s="34"/>
      <c r="E86" s="2"/>
      <c r="F86" s="2"/>
      <c r="G86" s="2"/>
      <c r="H86" s="18"/>
      <c r="I86" s="17"/>
      <c r="J86" s="5"/>
      <c r="K86" s="5"/>
      <c r="L86" s="6"/>
      <c r="M86" s="6"/>
      <c r="N86" s="56"/>
      <c r="O86" s="56"/>
      <c r="P86" s="56"/>
      <c r="Q86" s="56"/>
    </row>
    <row r="87" spans="3:17" ht="22.05" customHeight="1" x14ac:dyDescent="0.3">
      <c r="C87" s="19"/>
      <c r="D87" s="34"/>
      <c r="E87" s="2"/>
      <c r="F87" s="2"/>
      <c r="G87" s="2"/>
      <c r="H87" s="18"/>
      <c r="I87" s="17"/>
      <c r="J87" s="5"/>
      <c r="K87" s="5"/>
      <c r="L87" s="6"/>
      <c r="M87" s="6"/>
      <c r="N87" s="56"/>
      <c r="O87" s="56"/>
      <c r="P87" s="56"/>
      <c r="Q87" s="56"/>
    </row>
    <row r="88" spans="3:17" ht="22.05" customHeight="1" x14ac:dyDescent="0.3">
      <c r="C88" s="19"/>
      <c r="D88" s="34"/>
      <c r="E88" s="2"/>
      <c r="F88" s="2"/>
      <c r="G88" s="2"/>
      <c r="H88" s="18"/>
      <c r="I88" s="17"/>
      <c r="J88" s="5"/>
      <c r="K88" s="5"/>
      <c r="L88" s="6"/>
      <c r="M88" s="6"/>
      <c r="N88" s="56"/>
      <c r="O88" s="56"/>
      <c r="P88" s="56"/>
      <c r="Q88" s="56"/>
    </row>
    <row r="89" spans="3:17" ht="22.05" customHeight="1" x14ac:dyDescent="0.3">
      <c r="C89" s="19"/>
      <c r="D89" s="34"/>
      <c r="E89" s="2"/>
      <c r="F89" s="2"/>
      <c r="G89" s="2"/>
      <c r="H89" s="18"/>
      <c r="I89" s="17"/>
      <c r="J89" s="5"/>
      <c r="K89" s="5"/>
      <c r="L89" s="6"/>
      <c r="M89" s="6"/>
      <c r="N89" s="56"/>
      <c r="O89" s="56"/>
      <c r="P89" s="56"/>
      <c r="Q89" s="56"/>
    </row>
    <row r="90" spans="3:17" ht="22.05" customHeight="1" x14ac:dyDescent="0.3">
      <c r="C90" s="19"/>
      <c r="D90" s="34"/>
      <c r="E90" s="2"/>
      <c r="F90" s="2"/>
      <c r="G90" s="2"/>
      <c r="H90" s="18"/>
      <c r="I90" s="17"/>
      <c r="J90" s="5"/>
      <c r="K90" s="5"/>
      <c r="L90" s="6"/>
      <c r="M90" s="6"/>
      <c r="N90" s="56"/>
      <c r="O90" s="56"/>
      <c r="P90" s="56"/>
      <c r="Q90" s="56"/>
    </row>
    <row r="91" spans="3:17" ht="22.05" customHeight="1" x14ac:dyDescent="0.3">
      <c r="C91" s="19"/>
      <c r="D91" s="34"/>
      <c r="E91" s="2"/>
      <c r="F91" s="2"/>
      <c r="G91" s="2"/>
      <c r="H91" s="18"/>
      <c r="I91" s="17"/>
      <c r="J91" s="5"/>
      <c r="K91" s="5"/>
      <c r="L91" s="6"/>
      <c r="M91" s="6"/>
      <c r="N91" s="56"/>
      <c r="O91" s="56"/>
      <c r="P91" s="56"/>
      <c r="Q91" s="56"/>
    </row>
    <row r="92" spans="3:17" ht="22.05" customHeight="1" x14ac:dyDescent="0.3">
      <c r="C92" s="19"/>
      <c r="D92" s="34"/>
      <c r="E92" s="2"/>
      <c r="F92" s="2"/>
      <c r="G92" s="2"/>
      <c r="H92" s="18"/>
      <c r="I92" s="17"/>
      <c r="J92" s="5"/>
      <c r="K92" s="5"/>
      <c r="L92" s="6"/>
      <c r="M92" s="6"/>
      <c r="N92" s="56"/>
      <c r="O92" s="56"/>
      <c r="P92" s="56"/>
      <c r="Q92" s="56"/>
    </row>
    <row r="93" spans="3:17" ht="22.05" customHeight="1" x14ac:dyDescent="0.3">
      <c r="C93" s="19"/>
      <c r="D93" s="34"/>
      <c r="E93" s="2"/>
      <c r="F93" s="2"/>
      <c r="G93" s="2"/>
      <c r="H93" s="18"/>
      <c r="I93" s="17"/>
      <c r="J93" s="5"/>
      <c r="K93" s="5"/>
      <c r="L93" s="6"/>
      <c r="M93" s="6"/>
      <c r="N93" s="56"/>
      <c r="O93" s="56"/>
      <c r="P93" s="56"/>
      <c r="Q93" s="56"/>
    </row>
    <row r="94" spans="3:17" ht="22.05" customHeight="1" x14ac:dyDescent="0.3">
      <c r="C94" s="19"/>
      <c r="D94" s="34"/>
      <c r="E94" s="2"/>
      <c r="F94" s="2"/>
      <c r="G94" s="2"/>
      <c r="H94" s="18"/>
      <c r="I94" s="17"/>
      <c r="J94" s="5"/>
      <c r="K94" s="5"/>
      <c r="L94" s="6"/>
      <c r="M94" s="6"/>
      <c r="N94" s="56"/>
      <c r="O94" s="56"/>
      <c r="P94" s="56"/>
      <c r="Q94" s="56"/>
    </row>
    <row r="95" spans="3:17" ht="22.05" customHeight="1" x14ac:dyDescent="0.3">
      <c r="C95" s="19"/>
      <c r="D95" s="34"/>
      <c r="E95" s="2"/>
      <c r="F95" s="2"/>
      <c r="G95" s="2"/>
      <c r="H95" s="18"/>
      <c r="I95" s="17"/>
      <c r="J95" s="5"/>
      <c r="K95" s="5"/>
      <c r="L95" s="6"/>
      <c r="M95" s="6"/>
      <c r="N95" s="56"/>
      <c r="O95" s="56"/>
      <c r="P95" s="56"/>
      <c r="Q95" s="56"/>
    </row>
    <row r="96" spans="3:17" ht="22.05" customHeight="1" x14ac:dyDescent="0.3">
      <c r="C96" s="19"/>
      <c r="D96" s="34"/>
      <c r="E96" s="2"/>
      <c r="F96" s="2"/>
      <c r="G96" s="2"/>
      <c r="H96" s="18"/>
      <c r="I96" s="17"/>
      <c r="J96" s="5"/>
      <c r="K96" s="5"/>
      <c r="L96" s="6"/>
      <c r="M96" s="6"/>
      <c r="N96" s="56"/>
      <c r="O96" s="56"/>
      <c r="P96" s="56"/>
      <c r="Q96" s="56"/>
    </row>
    <row r="97" spans="3:17" ht="22.05" customHeight="1" x14ac:dyDescent="0.3">
      <c r="C97" s="19"/>
      <c r="D97" s="34"/>
      <c r="E97" s="2"/>
      <c r="F97" s="2"/>
      <c r="G97" s="2"/>
      <c r="H97" s="18"/>
      <c r="I97" s="17"/>
      <c r="J97" s="5"/>
      <c r="K97" s="5"/>
      <c r="L97" s="6"/>
      <c r="M97" s="6"/>
      <c r="N97" s="56"/>
      <c r="O97" s="56"/>
      <c r="P97" s="56"/>
      <c r="Q97" s="56"/>
    </row>
    <row r="98" spans="3:17" ht="22.05" customHeight="1" x14ac:dyDescent="0.3">
      <c r="C98" s="19"/>
      <c r="D98" s="34"/>
      <c r="E98" s="2"/>
      <c r="F98" s="2"/>
      <c r="G98" s="2"/>
      <c r="H98" s="18"/>
      <c r="I98" s="17"/>
      <c r="J98" s="5"/>
      <c r="K98" s="5"/>
      <c r="L98" s="6"/>
      <c r="M98" s="6"/>
      <c r="N98" s="56"/>
      <c r="O98" s="56"/>
      <c r="P98" s="56"/>
      <c r="Q98" s="56"/>
    </row>
    <row r="99" spans="3:17" ht="22.05" customHeight="1" thickBot="1" x14ac:dyDescent="0.35">
      <c r="C99" s="20"/>
      <c r="D99" s="42"/>
      <c r="E99" s="43"/>
      <c r="F99" s="43"/>
      <c r="G99" s="43"/>
      <c r="H99" s="44"/>
      <c r="I99" s="45"/>
      <c r="J99" s="46"/>
      <c r="K99" s="46"/>
      <c r="L99" s="47"/>
      <c r="M99" s="47"/>
      <c r="N99" s="56"/>
      <c r="O99" s="56"/>
      <c r="P99" s="56"/>
      <c r="Q99" s="56"/>
    </row>
    <row r="100" spans="3:17" ht="18" customHeight="1" x14ac:dyDescent="0.3">
      <c r="E100" s="3"/>
      <c r="H100" s="12">
        <f>SUM(H4:H99)</f>
        <v>120</v>
      </c>
      <c r="I100" s="12">
        <f>SUM(I4:I99)</f>
        <v>0</v>
      </c>
      <c r="P100" s="59"/>
    </row>
  </sheetData>
  <mergeCells count="5">
    <mergeCell ref="A19:B19"/>
    <mergeCell ref="A1:B1"/>
    <mergeCell ref="C1:D1"/>
    <mergeCell ref="A15:B15"/>
    <mergeCell ref="A16:B16"/>
  </mergeCells>
  <pageMargins left="0.7" right="0.7" top="0.78740157499999996" bottom="0.78740157499999996"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B806B-D68A-4B62-841C-AEF2658611D9}">
  <sheetPr codeName="Tabelle14"/>
  <dimension ref="A1:W100"/>
  <sheetViews>
    <sheetView zoomScale="55" zoomScaleNormal="55" workbookViewId="0">
      <selection activeCell="Y20" sqref="Y20"/>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58" t="s">
        <v>72</v>
      </c>
      <c r="B1" s="159"/>
      <c r="C1" s="160" t="s">
        <v>12</v>
      </c>
      <c r="D1" s="161" t="s">
        <v>0</v>
      </c>
      <c r="G1" s="1"/>
      <c r="H1" s="1"/>
      <c r="I1" s="1"/>
      <c r="J1" s="1"/>
      <c r="K1" s="1"/>
      <c r="L1" s="1"/>
      <c r="M1" s="1"/>
      <c r="V1" s="1"/>
      <c r="W1" s="1"/>
    </row>
    <row r="2" spans="1:23" ht="22.05" customHeight="1" x14ac:dyDescent="0.45">
      <c r="A2" s="71" t="s">
        <v>1</v>
      </c>
      <c r="B2" s="35"/>
      <c r="C2" s="37" t="s">
        <v>11</v>
      </c>
      <c r="D2" s="38" t="s">
        <v>11</v>
      </c>
      <c r="E2" s="39" t="s">
        <v>13</v>
      </c>
      <c r="F2" s="39" t="s">
        <v>13</v>
      </c>
      <c r="G2" s="39" t="s">
        <v>13</v>
      </c>
      <c r="H2" s="40" t="s">
        <v>14</v>
      </c>
      <c r="I2" s="40" t="s">
        <v>14</v>
      </c>
      <c r="J2" s="39" t="s">
        <v>13</v>
      </c>
      <c r="K2" s="39" t="s">
        <v>13</v>
      </c>
      <c r="L2" s="40" t="s">
        <v>14</v>
      </c>
      <c r="M2" s="40" t="s">
        <v>14</v>
      </c>
      <c r="N2" s="39" t="s">
        <v>13</v>
      </c>
      <c r="O2" s="39" t="s">
        <v>13</v>
      </c>
      <c r="P2" s="39" t="s">
        <v>13</v>
      </c>
      <c r="Q2" s="41" t="s">
        <v>13</v>
      </c>
      <c r="R2" s="40" t="s">
        <v>30</v>
      </c>
      <c r="S2" s="40" t="s">
        <v>30</v>
      </c>
    </row>
    <row r="3" spans="1:23" ht="22.05" customHeight="1" thickBot="1" x14ac:dyDescent="0.5">
      <c r="A3" s="71" t="s">
        <v>2</v>
      </c>
      <c r="B3" s="35"/>
      <c r="C3" s="20" t="s">
        <v>27</v>
      </c>
      <c r="D3" s="21"/>
      <c r="E3" s="57" t="s">
        <v>16</v>
      </c>
      <c r="F3" s="57" t="s">
        <v>17</v>
      </c>
      <c r="G3" s="57" t="s">
        <v>20</v>
      </c>
      <c r="H3" s="57" t="s">
        <v>26</v>
      </c>
      <c r="I3" s="57" t="s">
        <v>25</v>
      </c>
      <c r="J3" s="57" t="s">
        <v>23</v>
      </c>
      <c r="K3" s="57" t="s">
        <v>24</v>
      </c>
      <c r="L3" s="57" t="s">
        <v>28</v>
      </c>
      <c r="M3" s="57" t="s">
        <v>29</v>
      </c>
      <c r="N3" s="57" t="s">
        <v>18</v>
      </c>
      <c r="O3" s="57" t="s">
        <v>19</v>
      </c>
      <c r="P3" s="57" t="s">
        <v>21</v>
      </c>
      <c r="Q3" s="58" t="s">
        <v>22</v>
      </c>
      <c r="R3" s="57" t="s">
        <v>33</v>
      </c>
      <c r="S3" s="57" t="s">
        <v>60</v>
      </c>
    </row>
    <row r="4" spans="1:23" ht="22.05" customHeight="1" x14ac:dyDescent="0.45">
      <c r="A4" s="71" t="s">
        <v>3</v>
      </c>
      <c r="B4" s="35"/>
      <c r="C4" s="49">
        <v>1</v>
      </c>
      <c r="D4" s="50">
        <v>0</v>
      </c>
      <c r="E4" s="36">
        <v>0</v>
      </c>
      <c r="F4" s="36">
        <v>0</v>
      </c>
      <c r="G4" s="36">
        <v>10</v>
      </c>
      <c r="H4" s="51">
        <v>5</v>
      </c>
      <c r="I4" s="52">
        <v>0</v>
      </c>
      <c r="J4" s="53">
        <v>0</v>
      </c>
      <c r="K4" s="53">
        <v>0</v>
      </c>
      <c r="L4" s="54">
        <v>0</v>
      </c>
      <c r="M4" s="54">
        <v>0</v>
      </c>
      <c r="N4" s="56">
        <v>0</v>
      </c>
      <c r="O4" s="56">
        <v>0</v>
      </c>
      <c r="P4" s="56">
        <v>0</v>
      </c>
      <c r="Q4" s="56">
        <v>0</v>
      </c>
      <c r="R4" s="55">
        <v>0</v>
      </c>
      <c r="S4" s="55">
        <v>0</v>
      </c>
    </row>
    <row r="5" spans="1:23" ht="22.05" customHeight="1" x14ac:dyDescent="0.45">
      <c r="A5" s="71" t="s">
        <v>4</v>
      </c>
      <c r="B5" s="35"/>
      <c r="C5" s="19">
        <v>2</v>
      </c>
      <c r="D5" s="34">
        <v>42005.020833333336</v>
      </c>
      <c r="E5" s="2">
        <v>0</v>
      </c>
      <c r="F5" s="2">
        <v>0</v>
      </c>
      <c r="G5" s="2">
        <v>10</v>
      </c>
      <c r="H5" s="18">
        <v>5</v>
      </c>
      <c r="I5" s="17">
        <v>0</v>
      </c>
      <c r="J5" s="5">
        <v>0</v>
      </c>
      <c r="K5" s="5">
        <v>0</v>
      </c>
      <c r="L5" s="6">
        <v>0</v>
      </c>
      <c r="M5" s="6">
        <v>0</v>
      </c>
      <c r="N5" s="56">
        <v>0</v>
      </c>
      <c r="O5" s="56">
        <v>0</v>
      </c>
      <c r="P5" s="56">
        <v>0</v>
      </c>
      <c r="Q5" s="56">
        <v>0</v>
      </c>
      <c r="R5" s="7">
        <v>0</v>
      </c>
      <c r="S5" s="7">
        <v>0</v>
      </c>
    </row>
    <row r="6" spans="1:23" ht="22.05" customHeight="1" x14ac:dyDescent="0.45">
      <c r="A6" s="71" t="s">
        <v>5</v>
      </c>
      <c r="B6" s="35"/>
      <c r="C6" s="19">
        <v>3</v>
      </c>
      <c r="D6" s="34">
        <v>42005.03125</v>
      </c>
      <c r="E6" s="2">
        <v>0</v>
      </c>
      <c r="F6" s="2">
        <v>0</v>
      </c>
      <c r="G6" s="2">
        <v>10</v>
      </c>
      <c r="H6" s="18">
        <v>5</v>
      </c>
      <c r="I6" s="17">
        <v>0</v>
      </c>
      <c r="J6" s="5">
        <v>0</v>
      </c>
      <c r="K6" s="5">
        <v>0</v>
      </c>
      <c r="L6" s="6">
        <v>0</v>
      </c>
      <c r="M6" s="6">
        <v>0</v>
      </c>
      <c r="N6" s="56">
        <v>0</v>
      </c>
      <c r="O6" s="56">
        <v>0</v>
      </c>
      <c r="P6" s="56">
        <v>0</v>
      </c>
      <c r="Q6" s="56">
        <v>0</v>
      </c>
      <c r="R6" s="7">
        <v>0</v>
      </c>
      <c r="S6" s="7">
        <v>0</v>
      </c>
    </row>
    <row r="7" spans="1:23" ht="22.05" customHeight="1" x14ac:dyDescent="0.45">
      <c r="A7" s="71" t="s">
        <v>6</v>
      </c>
      <c r="B7" s="35"/>
      <c r="C7" s="19">
        <v>4</v>
      </c>
      <c r="D7" s="34">
        <v>42005.041666666664</v>
      </c>
      <c r="E7" s="2">
        <v>0</v>
      </c>
      <c r="F7" s="2">
        <v>0</v>
      </c>
      <c r="G7" s="2">
        <v>10</v>
      </c>
      <c r="H7" s="18">
        <v>5</v>
      </c>
      <c r="I7" s="17">
        <v>0</v>
      </c>
      <c r="J7" s="5">
        <v>0</v>
      </c>
      <c r="K7" s="5">
        <v>0</v>
      </c>
      <c r="L7" s="6">
        <v>0</v>
      </c>
      <c r="M7" s="6">
        <v>0</v>
      </c>
      <c r="N7" s="56">
        <v>0</v>
      </c>
      <c r="O7" s="56">
        <v>0</v>
      </c>
      <c r="P7" s="56">
        <v>0</v>
      </c>
      <c r="Q7" s="56">
        <v>0</v>
      </c>
      <c r="R7" s="7">
        <v>0</v>
      </c>
      <c r="S7" s="7">
        <v>0</v>
      </c>
    </row>
    <row r="8" spans="1:23" ht="22.05" customHeight="1" x14ac:dyDescent="0.45">
      <c r="A8" s="71" t="s">
        <v>7</v>
      </c>
      <c r="B8" s="35"/>
      <c r="C8" s="19">
        <v>5</v>
      </c>
      <c r="D8" s="34">
        <v>42005.052083333336</v>
      </c>
      <c r="E8" s="2">
        <v>0</v>
      </c>
      <c r="F8" s="2">
        <v>0</v>
      </c>
      <c r="G8" s="2">
        <v>10</v>
      </c>
      <c r="H8" s="18">
        <v>5</v>
      </c>
      <c r="I8" s="17">
        <v>0</v>
      </c>
      <c r="J8" s="5">
        <v>0</v>
      </c>
      <c r="K8" s="5">
        <v>0</v>
      </c>
      <c r="L8" s="6">
        <v>0</v>
      </c>
      <c r="M8" s="6">
        <v>0</v>
      </c>
      <c r="N8" s="56">
        <v>0</v>
      </c>
      <c r="O8" s="56">
        <v>0</v>
      </c>
      <c r="P8" s="56">
        <v>0</v>
      </c>
      <c r="Q8" s="56">
        <v>0</v>
      </c>
      <c r="R8" s="7">
        <v>0</v>
      </c>
      <c r="S8" s="7">
        <v>0</v>
      </c>
    </row>
    <row r="9" spans="1:23" ht="22.05" customHeight="1" x14ac:dyDescent="0.45">
      <c r="A9" s="71" t="s">
        <v>8</v>
      </c>
      <c r="B9" s="35"/>
      <c r="C9" s="19">
        <v>6</v>
      </c>
      <c r="D9" s="34">
        <v>42005.0625</v>
      </c>
      <c r="E9" s="2">
        <v>0</v>
      </c>
      <c r="F9" s="2">
        <v>0</v>
      </c>
      <c r="G9" s="2">
        <v>10</v>
      </c>
      <c r="H9" s="18">
        <v>5</v>
      </c>
      <c r="I9" s="17">
        <v>0</v>
      </c>
      <c r="J9" s="5">
        <v>0</v>
      </c>
      <c r="K9" s="5">
        <v>0</v>
      </c>
      <c r="L9" s="6">
        <v>0</v>
      </c>
      <c r="M9" s="6">
        <v>0</v>
      </c>
      <c r="N9" s="56">
        <v>0</v>
      </c>
      <c r="O9" s="56">
        <v>0</v>
      </c>
      <c r="P9" s="56">
        <v>0</v>
      </c>
      <c r="Q9" s="56">
        <v>0</v>
      </c>
      <c r="R9" s="7">
        <v>0</v>
      </c>
      <c r="S9" s="7">
        <v>0</v>
      </c>
    </row>
    <row r="10" spans="1:23" ht="22.05" customHeight="1" x14ac:dyDescent="0.45">
      <c r="A10" s="71" t="s">
        <v>31</v>
      </c>
      <c r="B10" s="35"/>
      <c r="C10" s="19">
        <v>7</v>
      </c>
      <c r="D10" s="34">
        <v>42005.072916666664</v>
      </c>
      <c r="E10" s="2">
        <v>0</v>
      </c>
      <c r="F10" s="2">
        <v>0</v>
      </c>
      <c r="G10" s="2">
        <v>10</v>
      </c>
      <c r="H10" s="18">
        <v>5</v>
      </c>
      <c r="I10" s="17">
        <v>0</v>
      </c>
      <c r="J10" s="5">
        <v>0</v>
      </c>
      <c r="K10" s="5">
        <v>0</v>
      </c>
      <c r="L10" s="6">
        <v>0</v>
      </c>
      <c r="M10" s="6">
        <v>0</v>
      </c>
      <c r="N10" s="56">
        <v>0</v>
      </c>
      <c r="O10" s="56">
        <v>0</v>
      </c>
      <c r="P10" s="56">
        <v>0</v>
      </c>
      <c r="Q10" s="56">
        <v>0</v>
      </c>
      <c r="R10" s="7">
        <v>0</v>
      </c>
      <c r="S10" s="7">
        <v>0</v>
      </c>
    </row>
    <row r="11" spans="1:23" ht="22.05" customHeight="1" x14ac:dyDescent="0.45">
      <c r="A11" s="71" t="s">
        <v>9</v>
      </c>
      <c r="B11" s="35"/>
      <c r="C11" s="19">
        <v>8</v>
      </c>
      <c r="D11" s="34">
        <v>42005.083333333336</v>
      </c>
      <c r="E11" s="2">
        <v>0</v>
      </c>
      <c r="F11" s="2">
        <v>0</v>
      </c>
      <c r="G11" s="2">
        <v>10</v>
      </c>
      <c r="H11" s="18">
        <v>5</v>
      </c>
      <c r="I11" s="17">
        <v>0</v>
      </c>
      <c r="J11" s="5">
        <v>0</v>
      </c>
      <c r="K11" s="5">
        <v>0</v>
      </c>
      <c r="L11" s="6">
        <v>0</v>
      </c>
      <c r="M11" s="6">
        <v>0</v>
      </c>
      <c r="N11" s="56">
        <v>0</v>
      </c>
      <c r="O11" s="56">
        <v>0</v>
      </c>
      <c r="P11" s="56">
        <v>0</v>
      </c>
      <c r="Q11" s="56">
        <v>0</v>
      </c>
      <c r="R11" s="7">
        <v>0</v>
      </c>
      <c r="S11" s="7">
        <v>0</v>
      </c>
    </row>
    <row r="12" spans="1:23" ht="22.05" customHeight="1" x14ac:dyDescent="0.45">
      <c r="A12" s="71" t="s">
        <v>15</v>
      </c>
      <c r="B12" s="35"/>
      <c r="C12" s="19">
        <v>9</v>
      </c>
      <c r="D12" s="34">
        <v>42005.09375</v>
      </c>
      <c r="E12" s="2">
        <v>0</v>
      </c>
      <c r="F12" s="2">
        <v>0</v>
      </c>
      <c r="G12" s="2">
        <v>10</v>
      </c>
      <c r="H12" s="18">
        <v>5</v>
      </c>
      <c r="I12" s="17">
        <v>0</v>
      </c>
      <c r="J12" s="5">
        <v>0</v>
      </c>
      <c r="K12" s="5">
        <v>0</v>
      </c>
      <c r="L12" s="6">
        <v>0</v>
      </c>
      <c r="M12" s="6">
        <v>0</v>
      </c>
      <c r="N12" s="56">
        <v>0</v>
      </c>
      <c r="O12" s="56">
        <v>0</v>
      </c>
      <c r="P12" s="56">
        <v>0</v>
      </c>
      <c r="Q12" s="56">
        <v>0</v>
      </c>
      <c r="R12" s="7">
        <v>0</v>
      </c>
      <c r="S12" s="7">
        <v>0</v>
      </c>
    </row>
    <row r="13" spans="1:23" ht="22.05" customHeight="1" x14ac:dyDescent="0.45">
      <c r="A13" s="71" t="s">
        <v>32</v>
      </c>
      <c r="B13" s="35"/>
      <c r="C13" s="19">
        <v>10</v>
      </c>
      <c r="D13" s="34">
        <v>42005.104166666664</v>
      </c>
      <c r="E13" s="2">
        <v>0</v>
      </c>
      <c r="F13" s="2">
        <v>0</v>
      </c>
      <c r="G13" s="2">
        <v>10</v>
      </c>
      <c r="H13" s="18">
        <v>5</v>
      </c>
      <c r="I13" s="17">
        <v>0</v>
      </c>
      <c r="J13" s="5">
        <v>0</v>
      </c>
      <c r="K13" s="5">
        <v>0</v>
      </c>
      <c r="L13" s="6">
        <v>0</v>
      </c>
      <c r="M13" s="6">
        <v>0</v>
      </c>
      <c r="N13" s="56">
        <v>0</v>
      </c>
      <c r="O13" s="56">
        <v>0</v>
      </c>
      <c r="P13" s="56">
        <v>0</v>
      </c>
      <c r="Q13" s="56">
        <v>0</v>
      </c>
      <c r="R13" s="7">
        <v>0</v>
      </c>
      <c r="S13" s="7">
        <v>0</v>
      </c>
    </row>
    <row r="14" spans="1:23" ht="22.05" customHeight="1" x14ac:dyDescent="0.45">
      <c r="A14" s="162" t="s">
        <v>10</v>
      </c>
      <c r="B14" s="163"/>
      <c r="C14" s="19">
        <v>11</v>
      </c>
      <c r="D14" s="34">
        <v>42005.114583333336</v>
      </c>
      <c r="E14" s="2">
        <v>0</v>
      </c>
      <c r="F14" s="2">
        <v>0</v>
      </c>
      <c r="G14" s="2">
        <v>10</v>
      </c>
      <c r="H14" s="18">
        <v>5</v>
      </c>
      <c r="I14" s="17">
        <v>0</v>
      </c>
      <c r="J14" s="5">
        <v>0</v>
      </c>
      <c r="K14" s="5">
        <v>0</v>
      </c>
      <c r="L14" s="6">
        <v>0</v>
      </c>
      <c r="M14" s="6">
        <v>0</v>
      </c>
      <c r="N14" s="56">
        <v>0</v>
      </c>
      <c r="O14" s="56">
        <v>0</v>
      </c>
      <c r="P14" s="56">
        <v>0</v>
      </c>
      <c r="Q14" s="56">
        <v>0</v>
      </c>
      <c r="R14" s="7">
        <v>0</v>
      </c>
      <c r="S14" s="7">
        <v>0</v>
      </c>
    </row>
    <row r="15" spans="1:23" ht="22.05" customHeight="1" x14ac:dyDescent="0.45">
      <c r="A15" s="164">
        <v>0</v>
      </c>
      <c r="B15" s="165"/>
      <c r="C15" s="19">
        <v>12</v>
      </c>
      <c r="D15" s="34">
        <v>42005.125</v>
      </c>
      <c r="E15" s="2">
        <v>0</v>
      </c>
      <c r="F15" s="2">
        <v>0</v>
      </c>
      <c r="G15" s="2">
        <v>10</v>
      </c>
      <c r="H15" s="18">
        <v>5</v>
      </c>
      <c r="I15" s="17">
        <v>0</v>
      </c>
      <c r="J15" s="5">
        <v>0</v>
      </c>
      <c r="K15" s="5">
        <v>0</v>
      </c>
      <c r="L15" s="6">
        <v>0</v>
      </c>
      <c r="M15" s="6">
        <v>0</v>
      </c>
      <c r="N15" s="56">
        <v>0</v>
      </c>
      <c r="O15" s="56">
        <v>0</v>
      </c>
      <c r="P15" s="56">
        <v>0</v>
      </c>
      <c r="Q15" s="56">
        <v>0</v>
      </c>
      <c r="R15" s="7">
        <v>0</v>
      </c>
      <c r="S15" s="7">
        <v>0</v>
      </c>
    </row>
    <row r="16" spans="1:23" ht="22.05" customHeight="1" x14ac:dyDescent="0.45">
      <c r="A16" s="164">
        <v>0</v>
      </c>
      <c r="B16" s="165"/>
      <c r="C16" s="19">
        <v>13</v>
      </c>
      <c r="D16" s="34">
        <v>42005.135416666664</v>
      </c>
      <c r="E16" s="2">
        <v>0</v>
      </c>
      <c r="F16" s="2">
        <v>0</v>
      </c>
      <c r="G16" s="2">
        <v>10</v>
      </c>
      <c r="H16" s="18">
        <v>5</v>
      </c>
      <c r="I16" s="17">
        <v>0</v>
      </c>
      <c r="J16" s="5">
        <v>0</v>
      </c>
      <c r="K16" s="5">
        <v>0</v>
      </c>
      <c r="L16" s="6">
        <v>0</v>
      </c>
      <c r="M16" s="6">
        <v>0</v>
      </c>
      <c r="N16" s="56">
        <v>0</v>
      </c>
      <c r="O16" s="56">
        <v>0</v>
      </c>
      <c r="P16" s="56">
        <v>0</v>
      </c>
      <c r="Q16" s="56">
        <v>0</v>
      </c>
      <c r="R16" s="7">
        <v>0</v>
      </c>
      <c r="S16" s="7">
        <v>0</v>
      </c>
    </row>
    <row r="17" spans="1:19" ht="22.05" customHeight="1" x14ac:dyDescent="0.3">
      <c r="A17" s="8"/>
      <c r="B17" s="8"/>
      <c r="C17" s="19">
        <v>14</v>
      </c>
      <c r="D17" s="34">
        <v>42005.145833333336</v>
      </c>
      <c r="E17" s="2">
        <v>0</v>
      </c>
      <c r="F17" s="2">
        <v>0</v>
      </c>
      <c r="G17" s="2">
        <v>10</v>
      </c>
      <c r="H17" s="18">
        <v>5</v>
      </c>
      <c r="I17" s="17">
        <v>0</v>
      </c>
      <c r="J17" s="5">
        <v>0</v>
      </c>
      <c r="K17" s="5">
        <v>0</v>
      </c>
      <c r="L17" s="6">
        <v>0</v>
      </c>
      <c r="M17" s="6">
        <v>0</v>
      </c>
      <c r="N17" s="56">
        <v>0</v>
      </c>
      <c r="O17" s="56">
        <v>0</v>
      </c>
      <c r="P17" s="56">
        <v>0</v>
      </c>
      <c r="Q17" s="56">
        <v>0</v>
      </c>
      <c r="R17" s="7">
        <v>0</v>
      </c>
      <c r="S17" s="7">
        <v>0</v>
      </c>
    </row>
    <row r="18" spans="1:19" ht="22.05" customHeight="1" x14ac:dyDescent="0.3">
      <c r="A18" s="8"/>
      <c r="B18" s="8"/>
      <c r="C18" s="19">
        <v>15</v>
      </c>
      <c r="D18" s="34">
        <v>42005.15625</v>
      </c>
      <c r="E18" s="2">
        <v>0</v>
      </c>
      <c r="F18" s="2">
        <v>0</v>
      </c>
      <c r="G18" s="2">
        <v>10</v>
      </c>
      <c r="H18" s="18">
        <v>5</v>
      </c>
      <c r="I18" s="17">
        <v>0</v>
      </c>
      <c r="J18" s="5">
        <v>0</v>
      </c>
      <c r="K18" s="5">
        <v>0</v>
      </c>
      <c r="L18" s="6">
        <v>0</v>
      </c>
      <c r="M18" s="6">
        <v>0</v>
      </c>
      <c r="N18" s="56">
        <v>0</v>
      </c>
      <c r="O18" s="56">
        <v>0</v>
      </c>
      <c r="P18" s="56">
        <v>0</v>
      </c>
      <c r="Q18" s="56">
        <v>0</v>
      </c>
      <c r="R18" s="7">
        <v>0</v>
      </c>
      <c r="S18" s="7">
        <v>0</v>
      </c>
    </row>
    <row r="19" spans="1:19" ht="22.05" customHeight="1" x14ac:dyDescent="0.45">
      <c r="A19" s="157"/>
      <c r="B19" s="157"/>
      <c r="C19" s="19">
        <v>16</v>
      </c>
      <c r="D19" s="34">
        <v>42005.166666666664</v>
      </c>
      <c r="E19" s="2">
        <v>0</v>
      </c>
      <c r="F19" s="2">
        <v>0</v>
      </c>
      <c r="G19" s="2">
        <v>10</v>
      </c>
      <c r="H19" s="18">
        <v>5</v>
      </c>
      <c r="I19" s="17">
        <v>0</v>
      </c>
      <c r="J19" s="5">
        <v>0</v>
      </c>
      <c r="K19" s="5">
        <v>0</v>
      </c>
      <c r="L19" s="6">
        <v>0</v>
      </c>
      <c r="M19" s="6">
        <v>0</v>
      </c>
      <c r="N19" s="56">
        <v>0</v>
      </c>
      <c r="O19" s="56">
        <v>0</v>
      </c>
      <c r="P19" s="56">
        <v>0</v>
      </c>
      <c r="Q19" s="56">
        <v>0</v>
      </c>
      <c r="R19" s="7">
        <v>0</v>
      </c>
      <c r="S19" s="7">
        <v>0</v>
      </c>
    </row>
    <row r="20" spans="1:19" ht="22.05" customHeight="1" x14ac:dyDescent="0.3">
      <c r="A20" s="9"/>
      <c r="B20" s="9"/>
      <c r="C20" s="19">
        <v>17</v>
      </c>
      <c r="D20" s="34">
        <v>42005.177083333336</v>
      </c>
      <c r="E20" s="2">
        <v>0</v>
      </c>
      <c r="F20" s="2">
        <v>0</v>
      </c>
      <c r="G20" s="2">
        <v>10</v>
      </c>
      <c r="H20" s="18">
        <v>5</v>
      </c>
      <c r="I20" s="17">
        <v>0</v>
      </c>
      <c r="J20" s="5">
        <v>0</v>
      </c>
      <c r="K20" s="5">
        <v>0</v>
      </c>
      <c r="L20" s="6">
        <v>0</v>
      </c>
      <c r="M20" s="6">
        <v>0</v>
      </c>
      <c r="N20" s="56">
        <v>0</v>
      </c>
      <c r="O20" s="56">
        <v>0</v>
      </c>
      <c r="P20" s="56">
        <v>0</v>
      </c>
      <c r="Q20" s="56">
        <v>0</v>
      </c>
      <c r="R20" s="7">
        <v>0</v>
      </c>
      <c r="S20" s="7">
        <v>0</v>
      </c>
    </row>
    <row r="21" spans="1:19" ht="22.05" customHeight="1" x14ac:dyDescent="0.3">
      <c r="C21" s="19">
        <v>18</v>
      </c>
      <c r="D21" s="34">
        <v>42005.1875</v>
      </c>
      <c r="E21" s="2">
        <v>0</v>
      </c>
      <c r="F21" s="2">
        <v>0</v>
      </c>
      <c r="G21" s="2">
        <v>10</v>
      </c>
      <c r="H21" s="18">
        <v>5</v>
      </c>
      <c r="I21" s="17">
        <v>0</v>
      </c>
      <c r="J21" s="5">
        <v>0</v>
      </c>
      <c r="K21" s="5">
        <v>0</v>
      </c>
      <c r="L21" s="6">
        <v>0</v>
      </c>
      <c r="M21" s="6">
        <v>0</v>
      </c>
      <c r="N21" s="56">
        <v>0</v>
      </c>
      <c r="O21" s="56">
        <v>0</v>
      </c>
      <c r="P21" s="56">
        <v>0</v>
      </c>
      <c r="Q21" s="56">
        <v>0</v>
      </c>
      <c r="R21" s="7">
        <v>0</v>
      </c>
      <c r="S21" s="7">
        <v>0</v>
      </c>
    </row>
    <row r="22" spans="1:19" ht="22.05" customHeight="1" x14ac:dyDescent="0.3">
      <c r="C22" s="19">
        <v>19</v>
      </c>
      <c r="D22" s="34">
        <v>42005.197916666664</v>
      </c>
      <c r="E22" s="2">
        <v>0</v>
      </c>
      <c r="F22" s="2">
        <v>0</v>
      </c>
      <c r="G22" s="2">
        <v>10</v>
      </c>
      <c r="H22" s="18">
        <v>5</v>
      </c>
      <c r="I22" s="17">
        <v>0</v>
      </c>
      <c r="J22" s="5">
        <v>0</v>
      </c>
      <c r="K22" s="5">
        <v>0</v>
      </c>
      <c r="L22" s="6">
        <v>0</v>
      </c>
      <c r="M22" s="6">
        <v>0</v>
      </c>
      <c r="N22" s="56">
        <v>0</v>
      </c>
      <c r="O22" s="56">
        <v>0</v>
      </c>
      <c r="P22" s="56">
        <v>0</v>
      </c>
      <c r="Q22" s="56">
        <v>0</v>
      </c>
      <c r="R22" s="7">
        <v>0</v>
      </c>
      <c r="S22" s="7">
        <v>0</v>
      </c>
    </row>
    <row r="23" spans="1:19" ht="22.05" customHeight="1" x14ac:dyDescent="0.3">
      <c r="C23" s="19">
        <v>20</v>
      </c>
      <c r="D23" s="34">
        <v>42005.208333333336</v>
      </c>
      <c r="E23" s="2">
        <v>0</v>
      </c>
      <c r="F23" s="2">
        <v>0</v>
      </c>
      <c r="G23" s="2">
        <v>10</v>
      </c>
      <c r="H23" s="18">
        <v>5</v>
      </c>
      <c r="I23" s="17">
        <v>0</v>
      </c>
      <c r="J23" s="5">
        <v>0</v>
      </c>
      <c r="K23" s="5">
        <v>0</v>
      </c>
      <c r="L23" s="6">
        <v>0</v>
      </c>
      <c r="M23" s="6">
        <v>0</v>
      </c>
      <c r="N23" s="56">
        <v>0</v>
      </c>
      <c r="O23" s="56">
        <v>0</v>
      </c>
      <c r="P23" s="56">
        <v>0</v>
      </c>
      <c r="Q23" s="56">
        <v>0</v>
      </c>
      <c r="R23" s="7">
        <v>0</v>
      </c>
      <c r="S23" s="7">
        <v>0</v>
      </c>
    </row>
    <row r="24" spans="1:19" ht="22.05" customHeight="1" x14ac:dyDescent="0.3">
      <c r="C24" s="19">
        <v>21</v>
      </c>
      <c r="D24" s="34">
        <v>42005.21875</v>
      </c>
      <c r="E24" s="2">
        <v>0</v>
      </c>
      <c r="F24" s="2">
        <v>0</v>
      </c>
      <c r="G24" s="2">
        <v>10</v>
      </c>
      <c r="H24" s="18">
        <v>5</v>
      </c>
      <c r="I24" s="17">
        <v>0</v>
      </c>
      <c r="J24" s="5">
        <v>0</v>
      </c>
      <c r="K24" s="5">
        <v>0</v>
      </c>
      <c r="L24" s="6">
        <v>0</v>
      </c>
      <c r="M24" s="6">
        <v>0</v>
      </c>
      <c r="N24" s="56">
        <v>0</v>
      </c>
      <c r="O24" s="56">
        <v>0</v>
      </c>
      <c r="P24" s="56">
        <v>0</v>
      </c>
      <c r="Q24" s="56">
        <v>0</v>
      </c>
      <c r="R24" s="7">
        <v>0</v>
      </c>
      <c r="S24" s="7">
        <v>0</v>
      </c>
    </row>
    <row r="25" spans="1:19" ht="22.05" customHeight="1" x14ac:dyDescent="0.3">
      <c r="C25" s="19">
        <v>22</v>
      </c>
      <c r="D25" s="34">
        <v>42005.229166666664</v>
      </c>
      <c r="E25" s="2">
        <v>0</v>
      </c>
      <c r="F25" s="2">
        <v>0</v>
      </c>
      <c r="G25" s="2">
        <v>10</v>
      </c>
      <c r="H25" s="18">
        <v>5</v>
      </c>
      <c r="I25" s="17">
        <v>0</v>
      </c>
      <c r="J25" s="5">
        <v>0</v>
      </c>
      <c r="K25" s="5">
        <v>0</v>
      </c>
      <c r="L25" s="6">
        <v>0</v>
      </c>
      <c r="M25" s="6">
        <v>0</v>
      </c>
      <c r="N25" s="56">
        <v>0</v>
      </c>
      <c r="O25" s="56">
        <v>0</v>
      </c>
      <c r="P25" s="56">
        <v>0</v>
      </c>
      <c r="Q25" s="56">
        <v>0</v>
      </c>
      <c r="R25" s="7">
        <v>0</v>
      </c>
      <c r="S25" s="7">
        <v>0</v>
      </c>
    </row>
    <row r="26" spans="1:19" ht="22.05" customHeight="1" x14ac:dyDescent="0.3">
      <c r="C26" s="19">
        <v>23</v>
      </c>
      <c r="D26" s="34">
        <v>42005.239583333336</v>
      </c>
      <c r="E26" s="2">
        <v>0</v>
      </c>
      <c r="F26" s="2">
        <v>0</v>
      </c>
      <c r="G26" s="2">
        <v>10</v>
      </c>
      <c r="H26" s="18">
        <v>5</v>
      </c>
      <c r="I26" s="17">
        <v>0</v>
      </c>
      <c r="J26" s="5">
        <v>0</v>
      </c>
      <c r="K26" s="5">
        <v>0</v>
      </c>
      <c r="L26" s="6">
        <v>0</v>
      </c>
      <c r="M26" s="6">
        <v>0</v>
      </c>
      <c r="N26" s="56">
        <v>0</v>
      </c>
      <c r="O26" s="56">
        <v>0</v>
      </c>
      <c r="P26" s="56">
        <v>0</v>
      </c>
      <c r="Q26" s="56">
        <v>0</v>
      </c>
      <c r="R26" s="7">
        <v>0</v>
      </c>
      <c r="S26" s="7">
        <v>0</v>
      </c>
    </row>
    <row r="27" spans="1:19" ht="22.05" customHeight="1" x14ac:dyDescent="0.3">
      <c r="C27" s="19">
        <v>24</v>
      </c>
      <c r="D27" s="34">
        <v>42005.25</v>
      </c>
      <c r="E27" s="2">
        <v>0</v>
      </c>
      <c r="F27" s="2">
        <v>0</v>
      </c>
      <c r="G27" s="2">
        <v>10</v>
      </c>
      <c r="H27" s="18">
        <v>5</v>
      </c>
      <c r="I27" s="17">
        <v>0</v>
      </c>
      <c r="J27" s="5">
        <v>0</v>
      </c>
      <c r="K27" s="5">
        <v>0</v>
      </c>
      <c r="L27" s="6">
        <v>0</v>
      </c>
      <c r="M27" s="6">
        <v>0</v>
      </c>
      <c r="N27" s="56">
        <v>0</v>
      </c>
      <c r="O27" s="56">
        <v>0</v>
      </c>
      <c r="P27" s="56">
        <v>0</v>
      </c>
      <c r="Q27" s="56">
        <v>0</v>
      </c>
      <c r="R27" s="7">
        <v>0</v>
      </c>
      <c r="S27" s="7">
        <v>0</v>
      </c>
    </row>
    <row r="28" spans="1:19" ht="22.05" customHeight="1" x14ac:dyDescent="0.3">
      <c r="C28" s="19">
        <v>25</v>
      </c>
      <c r="D28" s="34">
        <v>42005.260416666664</v>
      </c>
      <c r="E28" s="2">
        <v>0</v>
      </c>
      <c r="F28" s="2">
        <v>0</v>
      </c>
      <c r="G28" s="2">
        <v>0</v>
      </c>
      <c r="H28" s="18">
        <v>0.6672173857787379</v>
      </c>
      <c r="I28" s="17">
        <v>0</v>
      </c>
      <c r="J28" s="5">
        <v>0</v>
      </c>
      <c r="K28" s="5">
        <v>0</v>
      </c>
      <c r="L28" s="6">
        <v>10</v>
      </c>
      <c r="M28" s="6">
        <v>6</v>
      </c>
      <c r="N28" s="56">
        <v>0</v>
      </c>
      <c r="O28" s="56">
        <v>0</v>
      </c>
      <c r="P28" s="56">
        <v>0</v>
      </c>
      <c r="Q28" s="56">
        <v>0</v>
      </c>
      <c r="R28" s="7">
        <f t="shared" ref="R28:R35" si="0">E28+I28+K28*-1</f>
        <v>0</v>
      </c>
      <c r="S28" s="7"/>
    </row>
    <row r="29" spans="1:19" ht="22.05" customHeight="1" x14ac:dyDescent="0.3">
      <c r="C29" s="19">
        <v>26</v>
      </c>
      <c r="D29" s="34">
        <v>42005.270833333336</v>
      </c>
      <c r="E29" s="2">
        <v>0</v>
      </c>
      <c r="F29" s="2">
        <v>0</v>
      </c>
      <c r="G29" s="2">
        <v>0</v>
      </c>
      <c r="H29" s="18">
        <v>1.0484844633665882</v>
      </c>
      <c r="I29" s="17">
        <v>0</v>
      </c>
      <c r="J29" s="5">
        <v>0</v>
      </c>
      <c r="K29" s="5">
        <v>0</v>
      </c>
      <c r="L29" s="6">
        <v>10</v>
      </c>
      <c r="M29" s="6">
        <v>6</v>
      </c>
      <c r="N29" s="56">
        <v>0</v>
      </c>
      <c r="O29" s="56">
        <v>0</v>
      </c>
      <c r="P29" s="56">
        <v>0</v>
      </c>
      <c r="Q29" s="56">
        <v>0</v>
      </c>
      <c r="R29" s="7">
        <f t="shared" si="0"/>
        <v>0</v>
      </c>
      <c r="S29" s="7"/>
    </row>
    <row r="30" spans="1:19" ht="22.05" customHeight="1" x14ac:dyDescent="0.3">
      <c r="C30" s="19">
        <v>27</v>
      </c>
      <c r="D30" s="34">
        <v>42005.28125</v>
      </c>
      <c r="E30" s="2">
        <v>0</v>
      </c>
      <c r="F30" s="2">
        <v>0</v>
      </c>
      <c r="G30" s="2">
        <v>0</v>
      </c>
      <c r="H30" s="18">
        <v>1.2391180021605135</v>
      </c>
      <c r="I30" s="17">
        <v>0</v>
      </c>
      <c r="J30" s="5">
        <v>0</v>
      </c>
      <c r="K30" s="5">
        <v>0</v>
      </c>
      <c r="L30" s="6">
        <v>10</v>
      </c>
      <c r="M30" s="6">
        <v>6</v>
      </c>
      <c r="N30" s="56">
        <v>0</v>
      </c>
      <c r="O30" s="56">
        <v>0</v>
      </c>
      <c r="P30" s="56">
        <v>0</v>
      </c>
      <c r="Q30" s="56">
        <v>0</v>
      </c>
      <c r="R30" s="7">
        <f t="shared" si="0"/>
        <v>0</v>
      </c>
      <c r="S30" s="7"/>
    </row>
    <row r="31" spans="1:19" ht="22.05" customHeight="1" x14ac:dyDescent="0.3">
      <c r="C31" s="19">
        <v>28</v>
      </c>
      <c r="D31" s="34">
        <v>42005.291666666664</v>
      </c>
      <c r="E31" s="2">
        <v>0</v>
      </c>
      <c r="F31" s="2">
        <v>0</v>
      </c>
      <c r="G31" s="2">
        <v>0</v>
      </c>
      <c r="H31" s="18">
        <v>1.2391180021605135</v>
      </c>
      <c r="I31" s="17">
        <v>0</v>
      </c>
      <c r="J31" s="5">
        <v>0</v>
      </c>
      <c r="K31" s="5">
        <v>0</v>
      </c>
      <c r="L31" s="6">
        <v>10</v>
      </c>
      <c r="M31" s="6">
        <v>6</v>
      </c>
      <c r="N31" s="56">
        <v>0</v>
      </c>
      <c r="O31" s="56">
        <v>0</v>
      </c>
      <c r="P31" s="56">
        <v>0</v>
      </c>
      <c r="Q31" s="56">
        <v>0</v>
      </c>
      <c r="R31" s="7">
        <f t="shared" si="0"/>
        <v>0</v>
      </c>
      <c r="S31" s="7"/>
    </row>
    <row r="32" spans="1:19" ht="22.05" customHeight="1" x14ac:dyDescent="0.3">
      <c r="C32" s="19">
        <v>29</v>
      </c>
      <c r="D32" s="34">
        <v>42005.302083333336</v>
      </c>
      <c r="E32" s="2">
        <v>0</v>
      </c>
      <c r="F32" s="2">
        <v>0</v>
      </c>
      <c r="G32" s="2">
        <v>0</v>
      </c>
      <c r="H32" s="18">
        <v>1.2867763868589945</v>
      </c>
      <c r="I32" s="17">
        <v>2.2335025380710662E-2</v>
      </c>
      <c r="J32" s="5">
        <v>0</v>
      </c>
      <c r="K32" s="5">
        <v>0</v>
      </c>
      <c r="L32" s="6">
        <v>10</v>
      </c>
      <c r="M32" s="6">
        <v>6</v>
      </c>
      <c r="N32" s="56">
        <v>0</v>
      </c>
      <c r="O32" s="56">
        <v>0</v>
      </c>
      <c r="P32" s="56">
        <v>0</v>
      </c>
      <c r="Q32" s="56">
        <v>0</v>
      </c>
      <c r="R32" s="7">
        <f t="shared" si="0"/>
        <v>2.2335025380710662E-2</v>
      </c>
      <c r="S32" s="7"/>
    </row>
    <row r="33" spans="3:19" ht="22.05" customHeight="1" x14ac:dyDescent="0.3">
      <c r="C33" s="19">
        <v>30</v>
      </c>
      <c r="D33" s="34">
        <v>42005.3125</v>
      </c>
      <c r="E33" s="2">
        <v>0</v>
      </c>
      <c r="F33" s="2">
        <v>0</v>
      </c>
      <c r="G33" s="2">
        <v>0</v>
      </c>
      <c r="H33" s="18">
        <v>1.2391180021605135</v>
      </c>
      <c r="I33" s="17">
        <v>4.4670050761421325E-2</v>
      </c>
      <c r="J33" s="5">
        <v>0</v>
      </c>
      <c r="K33" s="5">
        <v>0</v>
      </c>
      <c r="L33" s="6">
        <v>10</v>
      </c>
      <c r="M33" s="6">
        <v>6</v>
      </c>
      <c r="N33" s="56">
        <v>0</v>
      </c>
      <c r="O33" s="56">
        <v>0</v>
      </c>
      <c r="P33" s="56">
        <v>0</v>
      </c>
      <c r="Q33" s="56">
        <v>0</v>
      </c>
      <c r="R33" s="7">
        <f t="shared" si="0"/>
        <v>4.4670050761421325E-2</v>
      </c>
      <c r="S33" s="7"/>
    </row>
    <row r="34" spans="3:19" ht="22.05" customHeight="1" x14ac:dyDescent="0.3">
      <c r="C34" s="19">
        <v>31</v>
      </c>
      <c r="D34" s="34">
        <v>42005.322916666664</v>
      </c>
      <c r="E34" s="2">
        <v>0</v>
      </c>
      <c r="F34" s="2">
        <v>0</v>
      </c>
      <c r="G34" s="2">
        <v>0</v>
      </c>
      <c r="H34" s="18">
        <v>1.3344347715574758</v>
      </c>
      <c r="I34" s="17">
        <v>6.7005076142131983E-2</v>
      </c>
      <c r="J34" s="5">
        <v>0</v>
      </c>
      <c r="K34" s="5">
        <v>0</v>
      </c>
      <c r="L34" s="6">
        <v>10</v>
      </c>
      <c r="M34" s="6">
        <v>6</v>
      </c>
      <c r="N34" s="56">
        <v>0</v>
      </c>
      <c r="O34" s="56">
        <v>0</v>
      </c>
      <c r="P34" s="56">
        <v>0</v>
      </c>
      <c r="Q34" s="56">
        <v>0</v>
      </c>
      <c r="R34" s="7">
        <f t="shared" si="0"/>
        <v>6.7005076142131983E-2</v>
      </c>
      <c r="S34" s="7"/>
    </row>
    <row r="35" spans="3:19" ht="22.05" customHeight="1" x14ac:dyDescent="0.3">
      <c r="C35" s="19">
        <v>32</v>
      </c>
      <c r="D35" s="34">
        <v>42005.333333333336</v>
      </c>
      <c r="E35" s="2">
        <v>0</v>
      </c>
      <c r="F35" s="2">
        <v>0</v>
      </c>
      <c r="G35" s="2">
        <v>0</v>
      </c>
      <c r="H35" s="18">
        <v>1.2391180021605135</v>
      </c>
      <c r="I35" s="17">
        <v>8.9340101522842649E-2</v>
      </c>
      <c r="J35" s="5">
        <v>0</v>
      </c>
      <c r="K35" s="5">
        <v>0</v>
      </c>
      <c r="L35" s="6">
        <v>10</v>
      </c>
      <c r="M35" s="6">
        <v>6</v>
      </c>
      <c r="N35" s="56">
        <v>0</v>
      </c>
      <c r="O35" s="56">
        <v>0</v>
      </c>
      <c r="P35" s="56">
        <v>0</v>
      </c>
      <c r="Q35" s="56">
        <v>0</v>
      </c>
      <c r="R35" s="7">
        <f t="shared" si="0"/>
        <v>8.9340101522842649E-2</v>
      </c>
      <c r="S35" s="7"/>
    </row>
    <row r="36" spans="3:19" ht="22.05" customHeight="1" x14ac:dyDescent="0.3">
      <c r="C36" s="19">
        <v>33</v>
      </c>
      <c r="D36" s="34">
        <v>42005.34375</v>
      </c>
      <c r="E36" s="2">
        <v>0</v>
      </c>
      <c r="F36" s="2">
        <v>0</v>
      </c>
      <c r="G36" s="2">
        <v>0</v>
      </c>
      <c r="H36" s="18">
        <v>1.1914596174620322</v>
      </c>
      <c r="I36" s="17">
        <v>0.20101522842639596</v>
      </c>
      <c r="J36" s="5">
        <v>0</v>
      </c>
      <c r="K36" s="5">
        <v>0</v>
      </c>
      <c r="L36" s="6">
        <v>10</v>
      </c>
      <c r="M36" s="6">
        <v>6</v>
      </c>
      <c r="N36" s="56">
        <v>0</v>
      </c>
      <c r="O36" s="56">
        <v>0</v>
      </c>
      <c r="P36" s="56">
        <v>0</v>
      </c>
      <c r="Q36" s="56">
        <v>0</v>
      </c>
      <c r="R36" s="7">
        <f t="shared" ref="R36:R67" si="1">E36+I36+K36*-1</f>
        <v>0.20101522842639596</v>
      </c>
      <c r="S36" s="7"/>
    </row>
    <row r="37" spans="3:19" ht="22.05" customHeight="1" x14ac:dyDescent="0.3">
      <c r="C37" s="19">
        <v>34</v>
      </c>
      <c r="D37" s="34">
        <v>42005.354166666664</v>
      </c>
      <c r="E37" s="2">
        <v>0</v>
      </c>
      <c r="F37" s="2">
        <v>0</v>
      </c>
      <c r="G37" s="2">
        <v>0</v>
      </c>
      <c r="H37" s="18">
        <v>1.2391180021605135</v>
      </c>
      <c r="I37" s="17">
        <v>0.26802030456852793</v>
      </c>
      <c r="J37" s="5">
        <v>0</v>
      </c>
      <c r="K37" s="5">
        <v>0</v>
      </c>
      <c r="L37" s="6">
        <v>10</v>
      </c>
      <c r="M37" s="6">
        <v>6</v>
      </c>
      <c r="N37" s="56">
        <v>0</v>
      </c>
      <c r="O37" s="56">
        <v>0</v>
      </c>
      <c r="P37" s="56">
        <v>0</v>
      </c>
      <c r="Q37" s="56">
        <v>0</v>
      </c>
      <c r="R37" s="7">
        <f t="shared" si="1"/>
        <v>0.26802030456852793</v>
      </c>
      <c r="S37" s="7"/>
    </row>
    <row r="38" spans="3:19" ht="22.05" customHeight="1" x14ac:dyDescent="0.3">
      <c r="C38" s="19">
        <v>35</v>
      </c>
      <c r="D38" s="34">
        <v>42005.364583333336</v>
      </c>
      <c r="E38" s="2">
        <v>0</v>
      </c>
      <c r="F38" s="2">
        <v>0</v>
      </c>
      <c r="G38" s="2">
        <v>0</v>
      </c>
      <c r="H38" s="18">
        <v>1.1438012327635507</v>
      </c>
      <c r="I38" s="17">
        <v>0.3573604060913706</v>
      </c>
      <c r="J38" s="5">
        <v>0</v>
      </c>
      <c r="K38" s="5">
        <v>0</v>
      </c>
      <c r="L38" s="6">
        <v>10</v>
      </c>
      <c r="M38" s="6">
        <v>6</v>
      </c>
      <c r="N38" s="56">
        <v>0</v>
      </c>
      <c r="O38" s="56">
        <v>0</v>
      </c>
      <c r="P38" s="56">
        <v>0</v>
      </c>
      <c r="Q38" s="56">
        <v>0</v>
      </c>
      <c r="R38" s="7">
        <f t="shared" si="1"/>
        <v>0.3573604060913706</v>
      </c>
      <c r="S38" s="7"/>
    </row>
    <row r="39" spans="3:19" ht="22.05" customHeight="1" x14ac:dyDescent="0.3">
      <c r="C39" s="19">
        <v>36</v>
      </c>
      <c r="D39" s="34">
        <v>42005.375</v>
      </c>
      <c r="E39" s="2">
        <v>0</v>
      </c>
      <c r="F39" s="2">
        <v>0</v>
      </c>
      <c r="G39" s="2">
        <v>0</v>
      </c>
      <c r="H39" s="18">
        <v>1.0484844633665882</v>
      </c>
      <c r="I39" s="17">
        <v>0.40203045685279193</v>
      </c>
      <c r="J39" s="5">
        <v>0</v>
      </c>
      <c r="K39" s="5">
        <v>0</v>
      </c>
      <c r="L39" s="6">
        <v>10</v>
      </c>
      <c r="M39" s="6">
        <v>6</v>
      </c>
      <c r="N39" s="56">
        <v>0</v>
      </c>
      <c r="O39" s="56">
        <v>0</v>
      </c>
      <c r="P39" s="56">
        <v>0</v>
      </c>
      <c r="Q39" s="56">
        <v>0</v>
      </c>
      <c r="R39" s="7">
        <f t="shared" si="1"/>
        <v>0.40203045685279193</v>
      </c>
      <c r="S39" s="7"/>
    </row>
    <row r="40" spans="3:19" ht="22.05" customHeight="1" x14ac:dyDescent="0.3">
      <c r="C40" s="19">
        <v>37</v>
      </c>
      <c r="D40" s="34">
        <v>42005.385416666664</v>
      </c>
      <c r="E40" s="2">
        <v>0</v>
      </c>
      <c r="F40" s="2">
        <v>0</v>
      </c>
      <c r="G40" s="2">
        <v>0</v>
      </c>
      <c r="H40" s="18">
        <v>0.90550930927114437</v>
      </c>
      <c r="I40" s="17">
        <v>0.42436548223350257</v>
      </c>
      <c r="J40" s="5">
        <v>0</v>
      </c>
      <c r="K40" s="5">
        <v>0</v>
      </c>
      <c r="L40" s="6">
        <v>10</v>
      </c>
      <c r="M40" s="6">
        <v>6</v>
      </c>
      <c r="N40" s="56">
        <v>0</v>
      </c>
      <c r="O40" s="56">
        <v>0</v>
      </c>
      <c r="P40" s="56">
        <v>0</v>
      </c>
      <c r="Q40" s="56">
        <v>0</v>
      </c>
      <c r="R40" s="7">
        <f t="shared" si="1"/>
        <v>0.42436548223350257</v>
      </c>
      <c r="S40" s="7"/>
    </row>
    <row r="41" spans="3:19" ht="22.05" customHeight="1" x14ac:dyDescent="0.3">
      <c r="C41" s="19">
        <v>38</v>
      </c>
      <c r="D41" s="34">
        <v>42005.395833333336</v>
      </c>
      <c r="E41" s="2">
        <v>0</v>
      </c>
      <c r="F41" s="2">
        <v>0</v>
      </c>
      <c r="G41" s="2">
        <v>0</v>
      </c>
      <c r="H41" s="18">
        <v>1.0008260786681069</v>
      </c>
      <c r="I41" s="17">
        <v>0.46903553299492384</v>
      </c>
      <c r="J41" s="5">
        <v>0</v>
      </c>
      <c r="K41" s="5">
        <v>0</v>
      </c>
      <c r="L41" s="6">
        <v>10</v>
      </c>
      <c r="M41" s="6">
        <v>6</v>
      </c>
      <c r="N41" s="56">
        <v>0</v>
      </c>
      <c r="O41" s="56">
        <v>0</v>
      </c>
      <c r="P41" s="56">
        <v>0</v>
      </c>
      <c r="Q41" s="56">
        <v>0</v>
      </c>
      <c r="R41" s="7">
        <f t="shared" si="1"/>
        <v>0.46903553299492384</v>
      </c>
      <c r="S41" s="7"/>
    </row>
    <row r="42" spans="3:19" ht="22.05" customHeight="1" x14ac:dyDescent="0.3">
      <c r="C42" s="19">
        <v>39</v>
      </c>
      <c r="D42" s="34">
        <v>42005.40625</v>
      </c>
      <c r="E42" s="2">
        <v>0</v>
      </c>
      <c r="F42" s="2">
        <v>0</v>
      </c>
      <c r="G42" s="2">
        <v>0</v>
      </c>
      <c r="H42" s="18">
        <v>1.0484844633665882</v>
      </c>
      <c r="I42" s="17">
        <v>0.53604060913705587</v>
      </c>
      <c r="J42" s="5">
        <v>0</v>
      </c>
      <c r="K42" s="5">
        <v>0</v>
      </c>
      <c r="L42" s="6">
        <v>12</v>
      </c>
      <c r="M42" s="6">
        <v>6</v>
      </c>
      <c r="N42" s="56">
        <v>0</v>
      </c>
      <c r="O42" s="56">
        <v>0</v>
      </c>
      <c r="P42" s="56">
        <v>0</v>
      </c>
      <c r="Q42" s="56">
        <v>0</v>
      </c>
      <c r="R42" s="7">
        <f t="shared" si="1"/>
        <v>0.53604060913705587</v>
      </c>
      <c r="S42" s="7"/>
    </row>
    <row r="43" spans="3:19" ht="22.05" customHeight="1" x14ac:dyDescent="0.3">
      <c r="C43" s="19">
        <v>40</v>
      </c>
      <c r="D43" s="34">
        <v>42005.416666666664</v>
      </c>
      <c r="E43" s="2">
        <v>0</v>
      </c>
      <c r="F43" s="2">
        <v>0</v>
      </c>
      <c r="G43" s="2">
        <v>0</v>
      </c>
      <c r="H43" s="18">
        <v>1.0484844633665882</v>
      </c>
      <c r="I43" s="17">
        <v>0.51370558375634512</v>
      </c>
      <c r="J43" s="5">
        <v>0</v>
      </c>
      <c r="K43" s="5">
        <v>0</v>
      </c>
      <c r="L43" s="6">
        <v>12</v>
      </c>
      <c r="M43" s="6">
        <v>6</v>
      </c>
      <c r="N43" s="56">
        <v>0</v>
      </c>
      <c r="O43" s="56">
        <v>0</v>
      </c>
      <c r="P43" s="56">
        <v>0</v>
      </c>
      <c r="Q43" s="56">
        <v>0</v>
      </c>
      <c r="R43" s="7">
        <f t="shared" si="1"/>
        <v>0.51370558375634512</v>
      </c>
      <c r="S43" s="7"/>
    </row>
    <row r="44" spans="3:19" ht="22.05" customHeight="1" x14ac:dyDescent="0.3">
      <c r="C44" s="19">
        <v>41</v>
      </c>
      <c r="D44" s="34">
        <v>42005.427083333336</v>
      </c>
      <c r="E44" s="2">
        <v>0</v>
      </c>
      <c r="F44" s="2">
        <v>0</v>
      </c>
      <c r="G44" s="2">
        <v>0</v>
      </c>
      <c r="H44" s="18">
        <v>1.1438012327635507</v>
      </c>
      <c r="I44" s="17">
        <v>0.53604060913705587</v>
      </c>
      <c r="J44" s="5">
        <v>0</v>
      </c>
      <c r="K44" s="5">
        <v>0</v>
      </c>
      <c r="L44" s="6">
        <v>15</v>
      </c>
      <c r="M44" s="6">
        <v>7.5</v>
      </c>
      <c r="N44" s="56">
        <v>0</v>
      </c>
      <c r="O44" s="56">
        <v>0</v>
      </c>
      <c r="P44" s="56">
        <v>0</v>
      </c>
      <c r="Q44" s="56">
        <v>0</v>
      </c>
      <c r="R44" s="7">
        <f t="shared" si="1"/>
        <v>0.53604060913705587</v>
      </c>
      <c r="S44" s="7"/>
    </row>
    <row r="45" spans="3:19" ht="22.05" customHeight="1" x14ac:dyDescent="0.3">
      <c r="C45" s="19">
        <v>42</v>
      </c>
      <c r="D45" s="34">
        <v>42005.4375</v>
      </c>
      <c r="E45" s="2">
        <v>0</v>
      </c>
      <c r="F45" s="2">
        <v>0</v>
      </c>
      <c r="G45" s="2">
        <v>0</v>
      </c>
      <c r="H45" s="18">
        <v>1.0484844633665882</v>
      </c>
      <c r="I45" s="17">
        <v>0.58071065989847714</v>
      </c>
      <c r="J45" s="5">
        <v>0</v>
      </c>
      <c r="K45" s="5">
        <v>0</v>
      </c>
      <c r="L45" s="6">
        <v>15</v>
      </c>
      <c r="M45" s="6">
        <v>7.5</v>
      </c>
      <c r="N45" s="56">
        <v>0</v>
      </c>
      <c r="O45" s="56">
        <v>0</v>
      </c>
      <c r="P45" s="56">
        <v>0</v>
      </c>
      <c r="Q45" s="56">
        <v>0</v>
      </c>
      <c r="R45" s="7">
        <f t="shared" si="1"/>
        <v>0.58071065989847714</v>
      </c>
      <c r="S45" s="7"/>
    </row>
    <row r="46" spans="3:19" ht="22.05" customHeight="1" x14ac:dyDescent="0.3">
      <c r="C46" s="19">
        <v>43</v>
      </c>
      <c r="D46" s="34">
        <v>42005.447916666664</v>
      </c>
      <c r="E46" s="2">
        <v>0</v>
      </c>
      <c r="F46" s="2">
        <v>0</v>
      </c>
      <c r="G46" s="2">
        <v>0</v>
      </c>
      <c r="H46" s="18">
        <v>1.0961428480650695</v>
      </c>
      <c r="I46" s="17">
        <v>0.58071065989847714</v>
      </c>
      <c r="J46" s="5">
        <v>0</v>
      </c>
      <c r="K46" s="5">
        <v>0</v>
      </c>
      <c r="L46" s="6">
        <v>15</v>
      </c>
      <c r="M46" s="6">
        <v>7.5</v>
      </c>
      <c r="N46" s="56">
        <v>0</v>
      </c>
      <c r="O46" s="56">
        <v>0</v>
      </c>
      <c r="P46" s="56">
        <v>0</v>
      </c>
      <c r="Q46" s="56">
        <v>0</v>
      </c>
      <c r="R46" s="7">
        <f t="shared" si="1"/>
        <v>0.58071065989847714</v>
      </c>
      <c r="S46" s="7"/>
    </row>
    <row r="47" spans="3:19" ht="22.05" customHeight="1" x14ac:dyDescent="0.3">
      <c r="C47" s="19">
        <v>44</v>
      </c>
      <c r="D47" s="34">
        <v>42005.458333333336</v>
      </c>
      <c r="E47" s="2">
        <v>0</v>
      </c>
      <c r="F47" s="2">
        <v>0</v>
      </c>
      <c r="G47" s="2">
        <v>0</v>
      </c>
      <c r="H47" s="18">
        <v>1.0008260786681069</v>
      </c>
      <c r="I47" s="17">
        <v>0.60304568527918778</v>
      </c>
      <c r="J47" s="5">
        <v>0</v>
      </c>
      <c r="K47" s="5">
        <v>0</v>
      </c>
      <c r="L47" s="6">
        <v>15</v>
      </c>
      <c r="M47" s="6">
        <v>7.5</v>
      </c>
      <c r="N47" s="56">
        <v>0</v>
      </c>
      <c r="O47" s="56">
        <v>0</v>
      </c>
      <c r="P47" s="56">
        <v>0</v>
      </c>
      <c r="Q47" s="56">
        <v>0</v>
      </c>
      <c r="R47" s="7">
        <f t="shared" si="1"/>
        <v>0.60304568527918778</v>
      </c>
      <c r="S47" s="7"/>
    </row>
    <row r="48" spans="3:19" ht="22.05" customHeight="1" x14ac:dyDescent="0.3">
      <c r="C48" s="19">
        <v>45</v>
      </c>
      <c r="D48" s="34">
        <v>42005.46875</v>
      </c>
      <c r="E48" s="2">
        <v>0</v>
      </c>
      <c r="F48" s="2">
        <v>0</v>
      </c>
      <c r="G48" s="2">
        <v>0</v>
      </c>
      <c r="H48" s="18">
        <v>1.1914596174620322</v>
      </c>
      <c r="I48" s="17">
        <v>0.60304568527918778</v>
      </c>
      <c r="J48" s="5">
        <v>0</v>
      </c>
      <c r="K48" s="5">
        <v>0</v>
      </c>
      <c r="L48" s="6">
        <v>15</v>
      </c>
      <c r="M48" s="6">
        <v>7.5</v>
      </c>
      <c r="N48" s="56">
        <v>0</v>
      </c>
      <c r="O48" s="56">
        <v>0</v>
      </c>
      <c r="P48" s="56">
        <v>0</v>
      </c>
      <c r="Q48" s="56">
        <v>0</v>
      </c>
      <c r="R48" s="7">
        <f t="shared" si="1"/>
        <v>0.60304568527918778</v>
      </c>
      <c r="S48" s="7"/>
    </row>
    <row r="49" spans="3:19" ht="22.05" customHeight="1" x14ac:dyDescent="0.3">
      <c r="C49" s="19">
        <v>46</v>
      </c>
      <c r="D49" s="34">
        <v>42005.479166666664</v>
      </c>
      <c r="E49" s="2">
        <v>0</v>
      </c>
      <c r="F49" s="2">
        <v>0</v>
      </c>
      <c r="G49" s="2">
        <v>0</v>
      </c>
      <c r="H49" s="18">
        <v>1.1914596174620322</v>
      </c>
      <c r="I49" s="17">
        <v>0.62538071065989853</v>
      </c>
      <c r="J49" s="5">
        <v>0</v>
      </c>
      <c r="K49" s="5">
        <v>0</v>
      </c>
      <c r="L49" s="6">
        <v>15</v>
      </c>
      <c r="M49" s="6">
        <v>7.5</v>
      </c>
      <c r="N49" s="56">
        <v>0</v>
      </c>
      <c r="O49" s="56">
        <v>0</v>
      </c>
      <c r="P49" s="56">
        <v>0</v>
      </c>
      <c r="Q49" s="56">
        <v>0</v>
      </c>
      <c r="R49" s="7">
        <f t="shared" si="1"/>
        <v>0.62538071065989853</v>
      </c>
      <c r="S49" s="7"/>
    </row>
    <row r="50" spans="3:19" ht="22.05" customHeight="1" x14ac:dyDescent="0.3">
      <c r="C50" s="19">
        <v>47</v>
      </c>
      <c r="D50" s="34">
        <v>42005.489583333336</v>
      </c>
      <c r="E50" s="2">
        <v>0</v>
      </c>
      <c r="F50" s="2">
        <v>0</v>
      </c>
      <c r="G50" s="2">
        <v>0</v>
      </c>
      <c r="H50" s="18">
        <v>1.2391180021605135</v>
      </c>
      <c r="I50" s="17">
        <v>0.64771573604060917</v>
      </c>
      <c r="J50" s="5">
        <v>0</v>
      </c>
      <c r="K50" s="5">
        <v>0</v>
      </c>
      <c r="L50" s="6">
        <v>15</v>
      </c>
      <c r="M50" s="6">
        <v>7.5</v>
      </c>
      <c r="N50" s="56">
        <v>0</v>
      </c>
      <c r="O50" s="56">
        <v>0</v>
      </c>
      <c r="P50" s="56">
        <v>0</v>
      </c>
      <c r="Q50" s="56">
        <v>0</v>
      </c>
      <c r="R50" s="7">
        <f t="shared" si="1"/>
        <v>0.64771573604060917</v>
      </c>
      <c r="S50" s="7"/>
    </row>
    <row r="51" spans="3:19" ht="22.05" customHeight="1" x14ac:dyDescent="0.3">
      <c r="C51" s="19">
        <v>48</v>
      </c>
      <c r="D51" s="34">
        <v>42005.5</v>
      </c>
      <c r="E51" s="2">
        <v>0</v>
      </c>
      <c r="F51" s="2">
        <v>0</v>
      </c>
      <c r="G51" s="2">
        <v>0</v>
      </c>
      <c r="H51" s="18">
        <v>1.2867763868589945</v>
      </c>
      <c r="I51" s="17">
        <v>0.69238578680203045</v>
      </c>
      <c r="J51" s="5">
        <v>0</v>
      </c>
      <c r="K51" s="5">
        <v>0</v>
      </c>
      <c r="L51" s="6">
        <v>15</v>
      </c>
      <c r="M51" s="6">
        <v>7.5</v>
      </c>
      <c r="N51" s="56">
        <v>0</v>
      </c>
      <c r="O51" s="56">
        <v>0</v>
      </c>
      <c r="P51" s="56">
        <v>0</v>
      </c>
      <c r="Q51" s="56">
        <v>0</v>
      </c>
      <c r="R51" s="7">
        <f t="shared" si="1"/>
        <v>0.69238578680203045</v>
      </c>
      <c r="S51" s="7"/>
    </row>
    <row r="52" spans="3:19" ht="22.05" customHeight="1" x14ac:dyDescent="0.3">
      <c r="C52" s="19">
        <v>49</v>
      </c>
      <c r="D52" s="34">
        <v>42005.510416666664</v>
      </c>
      <c r="E52" s="2">
        <v>0</v>
      </c>
      <c r="F52" s="2">
        <v>0</v>
      </c>
      <c r="G52" s="2">
        <v>0</v>
      </c>
      <c r="H52" s="18">
        <v>1.3344347715574758</v>
      </c>
      <c r="I52" s="17">
        <v>0.71472081218274119</v>
      </c>
      <c r="J52" s="5">
        <v>0</v>
      </c>
      <c r="K52" s="5">
        <v>0</v>
      </c>
      <c r="L52" s="6">
        <v>15</v>
      </c>
      <c r="M52" s="6">
        <v>7.5</v>
      </c>
      <c r="N52" s="56">
        <v>0</v>
      </c>
      <c r="O52" s="56">
        <v>0</v>
      </c>
      <c r="P52" s="56">
        <v>0</v>
      </c>
      <c r="Q52" s="56">
        <v>0</v>
      </c>
      <c r="R52" s="7">
        <f t="shared" si="1"/>
        <v>0.71472081218274119</v>
      </c>
      <c r="S52" s="7"/>
    </row>
    <row r="53" spans="3:19" ht="22.05" customHeight="1" x14ac:dyDescent="0.3">
      <c r="C53" s="19">
        <v>50</v>
      </c>
      <c r="D53" s="34">
        <v>42005.520833333336</v>
      </c>
      <c r="E53" s="2">
        <v>0</v>
      </c>
      <c r="F53" s="2">
        <v>0</v>
      </c>
      <c r="G53" s="2">
        <v>0</v>
      </c>
      <c r="H53" s="18">
        <v>1.5727266950498822</v>
      </c>
      <c r="I53" s="17">
        <v>0.69238578680203045</v>
      </c>
      <c r="J53" s="5">
        <v>0</v>
      </c>
      <c r="K53" s="5">
        <v>0</v>
      </c>
      <c r="L53" s="6">
        <v>15</v>
      </c>
      <c r="M53" s="6">
        <v>7.5</v>
      </c>
      <c r="N53" s="56">
        <v>0</v>
      </c>
      <c r="O53" s="56">
        <v>0</v>
      </c>
      <c r="P53" s="56">
        <v>0</v>
      </c>
      <c r="Q53" s="56">
        <v>0</v>
      </c>
      <c r="R53" s="7">
        <f t="shared" si="1"/>
        <v>0.69238578680203045</v>
      </c>
      <c r="S53" s="7"/>
    </row>
    <row r="54" spans="3:19" ht="22.05" customHeight="1" x14ac:dyDescent="0.3">
      <c r="C54" s="19">
        <v>51</v>
      </c>
      <c r="D54" s="34">
        <v>42005.53125</v>
      </c>
      <c r="E54" s="2">
        <v>0</v>
      </c>
      <c r="F54" s="2">
        <v>0</v>
      </c>
      <c r="G54" s="2">
        <v>0</v>
      </c>
      <c r="H54" s="18">
        <v>1.4774099256529198</v>
      </c>
      <c r="I54" s="17">
        <v>0.67005076142131981</v>
      </c>
      <c r="J54" s="5">
        <v>0</v>
      </c>
      <c r="K54" s="5">
        <v>0</v>
      </c>
      <c r="L54" s="6">
        <v>15</v>
      </c>
      <c r="M54" s="6">
        <v>7.5</v>
      </c>
      <c r="N54" s="56">
        <v>0</v>
      </c>
      <c r="O54" s="56">
        <v>0</v>
      </c>
      <c r="P54" s="56">
        <v>0</v>
      </c>
      <c r="Q54" s="56">
        <v>0</v>
      </c>
      <c r="R54" s="7">
        <f t="shared" si="1"/>
        <v>0.67005076142131981</v>
      </c>
      <c r="S54" s="7"/>
    </row>
    <row r="55" spans="3:19" ht="22.05" customHeight="1" x14ac:dyDescent="0.3">
      <c r="C55" s="19">
        <v>52</v>
      </c>
      <c r="D55" s="34">
        <v>42005.541666666664</v>
      </c>
      <c r="E55" s="2">
        <v>0</v>
      </c>
      <c r="F55" s="2">
        <v>0</v>
      </c>
      <c r="G55" s="2">
        <v>0</v>
      </c>
      <c r="H55" s="18">
        <v>1.3344347715574758</v>
      </c>
      <c r="I55" s="17">
        <v>0.67005076142131981</v>
      </c>
      <c r="J55" s="5">
        <v>0</v>
      </c>
      <c r="K55" s="5">
        <v>0</v>
      </c>
      <c r="L55" s="6">
        <v>15</v>
      </c>
      <c r="M55" s="6">
        <v>7.5</v>
      </c>
      <c r="N55" s="56">
        <v>0</v>
      </c>
      <c r="O55" s="56">
        <v>0</v>
      </c>
      <c r="P55" s="56">
        <v>0</v>
      </c>
      <c r="Q55" s="56">
        <v>0</v>
      </c>
      <c r="R55" s="7">
        <f t="shared" si="1"/>
        <v>0.67005076142131981</v>
      </c>
      <c r="S55" s="7"/>
    </row>
    <row r="56" spans="3:19" ht="22.05" customHeight="1" x14ac:dyDescent="0.3">
      <c r="C56" s="19">
        <v>53</v>
      </c>
      <c r="D56" s="34">
        <v>42005.552083333336</v>
      </c>
      <c r="E56" s="2">
        <v>0</v>
      </c>
      <c r="F56" s="2">
        <v>0</v>
      </c>
      <c r="G56" s="2">
        <v>0</v>
      </c>
      <c r="H56" s="18">
        <v>1.0961428480650695</v>
      </c>
      <c r="I56" s="17">
        <v>0.64771573604060917</v>
      </c>
      <c r="J56" s="5">
        <v>0</v>
      </c>
      <c r="K56" s="5">
        <v>0</v>
      </c>
      <c r="L56" s="6">
        <v>15</v>
      </c>
      <c r="M56" s="6">
        <v>7.5</v>
      </c>
      <c r="N56" s="56">
        <v>0</v>
      </c>
      <c r="O56" s="56">
        <v>0</v>
      </c>
      <c r="P56" s="56">
        <v>0</v>
      </c>
      <c r="Q56" s="56">
        <v>0</v>
      </c>
      <c r="R56" s="7">
        <f t="shared" si="1"/>
        <v>0.64771573604060917</v>
      </c>
      <c r="S56" s="7"/>
    </row>
    <row r="57" spans="3:19" ht="22.05" customHeight="1" x14ac:dyDescent="0.3">
      <c r="C57" s="19">
        <v>54</v>
      </c>
      <c r="D57" s="34">
        <v>42005.5625</v>
      </c>
      <c r="E57" s="2">
        <v>0</v>
      </c>
      <c r="F57" s="2">
        <v>0</v>
      </c>
      <c r="G57" s="2">
        <v>0</v>
      </c>
      <c r="H57" s="18">
        <v>1.3820931562559573</v>
      </c>
      <c r="I57" s="17">
        <v>0.62538071065989853</v>
      </c>
      <c r="J57" s="5">
        <v>0</v>
      </c>
      <c r="K57" s="5">
        <v>0</v>
      </c>
      <c r="L57" s="6">
        <v>15</v>
      </c>
      <c r="M57" s="6">
        <v>7.5</v>
      </c>
      <c r="N57" s="56">
        <v>0</v>
      </c>
      <c r="O57" s="56">
        <v>0</v>
      </c>
      <c r="P57" s="56">
        <v>0</v>
      </c>
      <c r="Q57" s="56">
        <v>0</v>
      </c>
      <c r="R57" s="7">
        <f t="shared" si="1"/>
        <v>0.62538071065989853</v>
      </c>
      <c r="S57" s="7"/>
    </row>
    <row r="58" spans="3:19" ht="22.05" customHeight="1" x14ac:dyDescent="0.3">
      <c r="C58" s="19">
        <v>55</v>
      </c>
      <c r="D58" s="34">
        <v>42005.572916666664</v>
      </c>
      <c r="E58" s="2">
        <v>0</v>
      </c>
      <c r="F58" s="2">
        <v>0</v>
      </c>
      <c r="G58" s="2">
        <v>0</v>
      </c>
      <c r="H58" s="18">
        <v>1.2391180021605135</v>
      </c>
      <c r="I58" s="17">
        <v>0.67005076142131981</v>
      </c>
      <c r="J58" s="5">
        <v>0</v>
      </c>
      <c r="K58" s="5">
        <v>0</v>
      </c>
      <c r="L58" s="6">
        <v>15</v>
      </c>
      <c r="M58" s="6">
        <v>7.5</v>
      </c>
      <c r="N58" s="56">
        <v>0</v>
      </c>
      <c r="O58" s="56">
        <v>0</v>
      </c>
      <c r="P58" s="56">
        <v>0</v>
      </c>
      <c r="Q58" s="56">
        <v>0</v>
      </c>
      <c r="R58" s="7">
        <f t="shared" si="1"/>
        <v>0.67005076142131981</v>
      </c>
      <c r="S58" s="7"/>
    </row>
    <row r="59" spans="3:19" ht="22.05" customHeight="1" x14ac:dyDescent="0.3">
      <c r="C59" s="19">
        <v>56</v>
      </c>
      <c r="D59" s="34">
        <v>42005.583333333336</v>
      </c>
      <c r="E59" s="2">
        <v>0</v>
      </c>
      <c r="F59" s="2">
        <v>0</v>
      </c>
      <c r="G59" s="2">
        <v>0</v>
      </c>
      <c r="H59" s="18">
        <v>1.1438012327635507</v>
      </c>
      <c r="I59" s="17">
        <v>0.64771573604060917</v>
      </c>
      <c r="J59" s="5">
        <v>0</v>
      </c>
      <c r="K59" s="5">
        <v>0</v>
      </c>
      <c r="L59" s="6">
        <v>15</v>
      </c>
      <c r="M59" s="6">
        <v>7.5</v>
      </c>
      <c r="N59" s="56">
        <v>0</v>
      </c>
      <c r="O59" s="56">
        <v>0</v>
      </c>
      <c r="P59" s="56">
        <v>0</v>
      </c>
      <c r="Q59" s="56">
        <v>0</v>
      </c>
      <c r="R59" s="7">
        <f t="shared" si="1"/>
        <v>0.64771573604060917</v>
      </c>
      <c r="S59" s="7"/>
    </row>
    <row r="60" spans="3:19" ht="22.05" customHeight="1" x14ac:dyDescent="0.3">
      <c r="C60" s="19">
        <v>57</v>
      </c>
      <c r="D60" s="34">
        <v>42005.59375</v>
      </c>
      <c r="E60" s="2">
        <v>0</v>
      </c>
      <c r="F60" s="2">
        <v>0</v>
      </c>
      <c r="G60" s="2">
        <v>0</v>
      </c>
      <c r="H60" s="18">
        <v>1.1914596174620322</v>
      </c>
      <c r="I60" s="17">
        <v>0.62538071065989853</v>
      </c>
      <c r="J60" s="5">
        <v>0</v>
      </c>
      <c r="K60" s="5">
        <v>0</v>
      </c>
      <c r="L60" s="6">
        <v>15</v>
      </c>
      <c r="M60" s="6">
        <v>7.5</v>
      </c>
      <c r="N60" s="56">
        <v>0</v>
      </c>
      <c r="O60" s="56">
        <v>0</v>
      </c>
      <c r="P60" s="56">
        <v>0</v>
      </c>
      <c r="Q60" s="56">
        <v>0</v>
      </c>
      <c r="R60" s="7">
        <f t="shared" si="1"/>
        <v>0.62538071065989853</v>
      </c>
      <c r="S60" s="7"/>
    </row>
    <row r="61" spans="3:19" ht="22.05" customHeight="1" x14ac:dyDescent="0.3">
      <c r="C61" s="19">
        <v>58</v>
      </c>
      <c r="D61" s="34">
        <v>42005.604166666664</v>
      </c>
      <c r="E61" s="2">
        <v>0</v>
      </c>
      <c r="F61" s="2">
        <v>0</v>
      </c>
      <c r="G61" s="2">
        <v>0</v>
      </c>
      <c r="H61" s="18">
        <v>1.0484844633665882</v>
      </c>
      <c r="I61" s="17">
        <v>0.58071065989847714</v>
      </c>
      <c r="J61" s="5">
        <v>0</v>
      </c>
      <c r="K61" s="5">
        <v>0</v>
      </c>
      <c r="L61" s="6">
        <v>15</v>
      </c>
      <c r="M61" s="6">
        <v>7.5</v>
      </c>
      <c r="N61" s="56">
        <v>0</v>
      </c>
      <c r="O61" s="56">
        <v>0</v>
      </c>
      <c r="P61" s="56">
        <v>0</v>
      </c>
      <c r="Q61" s="56">
        <v>0</v>
      </c>
      <c r="R61" s="7">
        <f t="shared" si="1"/>
        <v>0.58071065989847714</v>
      </c>
      <c r="S61" s="7"/>
    </row>
    <row r="62" spans="3:19" ht="22.05" customHeight="1" x14ac:dyDescent="0.3">
      <c r="C62" s="19">
        <v>59</v>
      </c>
      <c r="D62" s="34">
        <v>42005.614583333336</v>
      </c>
      <c r="E62" s="2">
        <v>0</v>
      </c>
      <c r="F62" s="2">
        <v>0</v>
      </c>
      <c r="G62" s="2">
        <v>0</v>
      </c>
      <c r="H62" s="18">
        <v>1.2391180021605135</v>
      </c>
      <c r="I62" s="17">
        <v>0.58071065989847714</v>
      </c>
      <c r="J62" s="5">
        <v>0</v>
      </c>
      <c r="K62" s="5">
        <v>0</v>
      </c>
      <c r="L62" s="6">
        <v>15</v>
      </c>
      <c r="M62" s="6">
        <v>7.5</v>
      </c>
      <c r="N62" s="56">
        <v>0</v>
      </c>
      <c r="O62" s="56">
        <v>0</v>
      </c>
      <c r="P62" s="56">
        <v>0</v>
      </c>
      <c r="Q62" s="56">
        <v>0</v>
      </c>
      <c r="R62" s="7">
        <f t="shared" si="1"/>
        <v>0.58071065989847714</v>
      </c>
      <c r="S62" s="7"/>
    </row>
    <row r="63" spans="3:19" ht="22.05" customHeight="1" x14ac:dyDescent="0.3">
      <c r="C63" s="19">
        <v>60</v>
      </c>
      <c r="D63" s="34">
        <v>42005.625</v>
      </c>
      <c r="E63" s="2">
        <v>0</v>
      </c>
      <c r="F63" s="2">
        <v>0</v>
      </c>
      <c r="G63" s="2">
        <v>0</v>
      </c>
      <c r="H63" s="18">
        <v>1.0008260786681069</v>
      </c>
      <c r="I63" s="17">
        <v>0.62538071065989853</v>
      </c>
      <c r="J63" s="5">
        <v>0</v>
      </c>
      <c r="K63" s="5">
        <v>0</v>
      </c>
      <c r="L63" s="6">
        <v>15</v>
      </c>
      <c r="M63" s="6">
        <v>7.5</v>
      </c>
      <c r="N63" s="56">
        <v>0</v>
      </c>
      <c r="O63" s="56">
        <v>0</v>
      </c>
      <c r="P63" s="56">
        <v>0</v>
      </c>
      <c r="Q63" s="56">
        <v>0</v>
      </c>
      <c r="R63" s="7">
        <f t="shared" si="1"/>
        <v>0.62538071065989853</v>
      </c>
      <c r="S63" s="7"/>
    </row>
    <row r="64" spans="3:19" ht="22.05" customHeight="1" x14ac:dyDescent="0.3">
      <c r="C64" s="19">
        <v>61</v>
      </c>
      <c r="D64" s="34">
        <v>42005.635416666664</v>
      </c>
      <c r="E64" s="2">
        <v>0</v>
      </c>
      <c r="F64" s="2">
        <v>0</v>
      </c>
      <c r="G64" s="2">
        <v>0</v>
      </c>
      <c r="H64" s="18">
        <v>1.1438012327635507</v>
      </c>
      <c r="I64" s="17">
        <v>0.60304568527918778</v>
      </c>
      <c r="J64" s="5">
        <v>0</v>
      </c>
      <c r="K64" s="5">
        <v>0</v>
      </c>
      <c r="L64" s="6">
        <v>15</v>
      </c>
      <c r="M64" s="6">
        <v>7.5</v>
      </c>
      <c r="N64" s="56">
        <v>0</v>
      </c>
      <c r="O64" s="56">
        <v>0</v>
      </c>
      <c r="P64" s="56">
        <v>0</v>
      </c>
      <c r="Q64" s="56">
        <v>0</v>
      </c>
      <c r="R64" s="7">
        <f t="shared" si="1"/>
        <v>0.60304568527918778</v>
      </c>
      <c r="S64" s="7"/>
    </row>
    <row r="65" spans="3:19" ht="22.05" customHeight="1" x14ac:dyDescent="0.3">
      <c r="C65" s="19">
        <v>62</v>
      </c>
      <c r="D65" s="34">
        <v>42005.645833333336</v>
      </c>
      <c r="E65" s="2">
        <v>0</v>
      </c>
      <c r="F65" s="2">
        <v>0</v>
      </c>
      <c r="G65" s="2">
        <v>0</v>
      </c>
      <c r="H65" s="18">
        <v>1.1438012327635507</v>
      </c>
      <c r="I65" s="17">
        <v>0.58071065989847714</v>
      </c>
      <c r="J65" s="5">
        <v>0</v>
      </c>
      <c r="K65" s="5">
        <v>0</v>
      </c>
      <c r="L65" s="6">
        <v>15</v>
      </c>
      <c r="M65" s="6">
        <v>7.5</v>
      </c>
      <c r="N65" s="56">
        <v>0</v>
      </c>
      <c r="O65" s="56">
        <v>0</v>
      </c>
      <c r="P65" s="56">
        <v>0</v>
      </c>
      <c r="Q65" s="56">
        <v>0</v>
      </c>
      <c r="R65" s="7">
        <f t="shared" si="1"/>
        <v>0.58071065989847714</v>
      </c>
      <c r="S65" s="7"/>
    </row>
    <row r="66" spans="3:19" ht="22.05" customHeight="1" x14ac:dyDescent="0.3">
      <c r="C66" s="19">
        <v>63</v>
      </c>
      <c r="D66" s="34">
        <v>42005.65625</v>
      </c>
      <c r="E66" s="2">
        <v>0</v>
      </c>
      <c r="F66" s="2">
        <v>0</v>
      </c>
      <c r="G66" s="2">
        <v>0</v>
      </c>
      <c r="H66" s="18">
        <v>1.2391180021605135</v>
      </c>
      <c r="I66" s="17">
        <v>0.53604060913705587</v>
      </c>
      <c r="J66" s="5">
        <v>0</v>
      </c>
      <c r="K66" s="5">
        <v>0</v>
      </c>
      <c r="L66" s="6">
        <v>15</v>
      </c>
      <c r="M66" s="6">
        <v>7.5</v>
      </c>
      <c r="N66" s="56">
        <v>0</v>
      </c>
      <c r="O66" s="56">
        <v>0</v>
      </c>
      <c r="P66" s="56">
        <v>0</v>
      </c>
      <c r="Q66" s="56">
        <v>0</v>
      </c>
      <c r="R66" s="7">
        <f t="shared" si="1"/>
        <v>0.53604060913705587</v>
      </c>
      <c r="S66" s="7"/>
    </row>
    <row r="67" spans="3:19" ht="22.05" customHeight="1" x14ac:dyDescent="0.3">
      <c r="C67" s="19">
        <v>64</v>
      </c>
      <c r="D67" s="34">
        <v>42005.666666666664</v>
      </c>
      <c r="E67" s="2">
        <v>0</v>
      </c>
      <c r="F67" s="2">
        <v>0</v>
      </c>
      <c r="G67" s="2">
        <v>0</v>
      </c>
      <c r="H67" s="18">
        <v>1.3820931562559573</v>
      </c>
      <c r="I67" s="17">
        <v>0.49137055837563448</v>
      </c>
      <c r="J67" s="5">
        <v>0</v>
      </c>
      <c r="K67" s="5">
        <v>0</v>
      </c>
      <c r="L67" s="6">
        <v>15</v>
      </c>
      <c r="M67" s="6">
        <v>7.5</v>
      </c>
      <c r="N67" s="56">
        <v>0</v>
      </c>
      <c r="O67" s="56">
        <v>0</v>
      </c>
      <c r="P67" s="56">
        <v>0</v>
      </c>
      <c r="Q67" s="56">
        <v>0</v>
      </c>
      <c r="R67" s="7">
        <f t="shared" si="1"/>
        <v>0.49137055837563448</v>
      </c>
      <c r="S67" s="7"/>
    </row>
    <row r="68" spans="3:19" ht="22.05" customHeight="1" x14ac:dyDescent="0.3">
      <c r="C68" s="19">
        <v>65</v>
      </c>
      <c r="D68" s="34">
        <v>42005.677083333336</v>
      </c>
      <c r="E68" s="2">
        <v>0</v>
      </c>
      <c r="F68" s="2">
        <v>0</v>
      </c>
      <c r="G68" s="2">
        <v>0</v>
      </c>
      <c r="H68" s="18">
        <v>1.3820931562559573</v>
      </c>
      <c r="I68" s="17">
        <v>0.44670050761421315</v>
      </c>
      <c r="J68" s="5">
        <v>0</v>
      </c>
      <c r="K68" s="5">
        <v>0</v>
      </c>
      <c r="L68" s="6">
        <v>12</v>
      </c>
      <c r="M68" s="6">
        <v>6</v>
      </c>
      <c r="N68" s="56">
        <v>0</v>
      </c>
      <c r="O68" s="56">
        <v>0</v>
      </c>
      <c r="P68" s="56">
        <v>0</v>
      </c>
      <c r="Q68" s="56">
        <v>0</v>
      </c>
      <c r="R68" s="7">
        <f t="shared" ref="R68:R99" si="2">E68+I68+K68*-1</f>
        <v>0.44670050761421315</v>
      </c>
      <c r="S68" s="7"/>
    </row>
    <row r="69" spans="3:19" ht="22.05" customHeight="1" x14ac:dyDescent="0.3">
      <c r="C69" s="19">
        <v>66</v>
      </c>
      <c r="D69" s="34">
        <v>42005.6875</v>
      </c>
      <c r="E69" s="2">
        <v>0</v>
      </c>
      <c r="F69" s="2">
        <v>0</v>
      </c>
      <c r="G69" s="2">
        <v>0</v>
      </c>
      <c r="H69" s="18">
        <v>0.95316769396962564</v>
      </c>
      <c r="I69" s="17">
        <v>0.42436548223350257</v>
      </c>
      <c r="J69" s="5">
        <v>0</v>
      </c>
      <c r="K69" s="5">
        <v>0</v>
      </c>
      <c r="L69" s="6">
        <v>12</v>
      </c>
      <c r="M69" s="6">
        <v>6</v>
      </c>
      <c r="N69" s="56">
        <v>0</v>
      </c>
      <c r="O69" s="56">
        <v>0</v>
      </c>
      <c r="P69" s="56">
        <v>0</v>
      </c>
      <c r="Q69" s="56">
        <v>0</v>
      </c>
      <c r="R69" s="7">
        <f t="shared" si="2"/>
        <v>0.42436548223350257</v>
      </c>
      <c r="S69" s="7"/>
    </row>
    <row r="70" spans="3:19" ht="22.05" customHeight="1" x14ac:dyDescent="0.3">
      <c r="C70" s="19">
        <v>67</v>
      </c>
      <c r="D70" s="34">
        <v>42005.697916666664</v>
      </c>
      <c r="E70" s="2">
        <v>0</v>
      </c>
      <c r="F70" s="2">
        <v>0</v>
      </c>
      <c r="G70" s="2">
        <v>0</v>
      </c>
      <c r="H70" s="18">
        <v>0.90550930927114437</v>
      </c>
      <c r="I70" s="17">
        <v>0.40203045685279193</v>
      </c>
      <c r="J70" s="5">
        <v>0</v>
      </c>
      <c r="K70" s="5">
        <v>0</v>
      </c>
      <c r="L70" s="6">
        <v>12</v>
      </c>
      <c r="M70" s="6">
        <v>6</v>
      </c>
      <c r="N70" s="56">
        <v>0</v>
      </c>
      <c r="O70" s="56">
        <v>0</v>
      </c>
      <c r="P70" s="56">
        <v>0</v>
      </c>
      <c r="Q70" s="56">
        <v>0</v>
      </c>
      <c r="R70" s="7">
        <f t="shared" si="2"/>
        <v>0.40203045685279193</v>
      </c>
      <c r="S70" s="7"/>
    </row>
    <row r="71" spans="3:19" ht="22.05" customHeight="1" x14ac:dyDescent="0.3">
      <c r="C71" s="19">
        <v>68</v>
      </c>
      <c r="D71" s="34">
        <v>42005.708333333336</v>
      </c>
      <c r="E71" s="2">
        <v>0</v>
      </c>
      <c r="F71" s="2">
        <v>0</v>
      </c>
      <c r="G71" s="2">
        <v>0</v>
      </c>
      <c r="H71" s="18">
        <v>1.0484844633665882</v>
      </c>
      <c r="I71" s="17">
        <v>0.3573604060913706</v>
      </c>
      <c r="J71" s="5">
        <v>0</v>
      </c>
      <c r="K71" s="5">
        <v>0</v>
      </c>
      <c r="L71" s="6">
        <v>12</v>
      </c>
      <c r="M71" s="6">
        <v>6</v>
      </c>
      <c r="N71" s="56">
        <v>0</v>
      </c>
      <c r="O71" s="56">
        <v>0</v>
      </c>
      <c r="P71" s="56">
        <v>0</v>
      </c>
      <c r="Q71" s="56">
        <v>0</v>
      </c>
      <c r="R71" s="7">
        <f t="shared" si="2"/>
        <v>0.3573604060913706</v>
      </c>
      <c r="S71" s="7"/>
    </row>
    <row r="72" spans="3:19" ht="22.05" customHeight="1" x14ac:dyDescent="0.3">
      <c r="C72" s="19">
        <v>69</v>
      </c>
      <c r="D72" s="34">
        <v>42005.71875</v>
      </c>
      <c r="E72" s="2">
        <v>0</v>
      </c>
      <c r="F72" s="2">
        <v>0</v>
      </c>
      <c r="G72" s="2">
        <v>0</v>
      </c>
      <c r="H72" s="18">
        <v>0.85785092457266299</v>
      </c>
      <c r="I72" s="17">
        <v>0.3573604060913706</v>
      </c>
      <c r="J72" s="5">
        <v>0</v>
      </c>
      <c r="K72" s="5">
        <v>0</v>
      </c>
      <c r="L72" s="6">
        <v>12</v>
      </c>
      <c r="M72" s="6">
        <v>6</v>
      </c>
      <c r="N72" s="56">
        <v>0</v>
      </c>
      <c r="O72" s="56">
        <v>0</v>
      </c>
      <c r="P72" s="56">
        <v>0</v>
      </c>
      <c r="Q72" s="56">
        <v>0</v>
      </c>
      <c r="R72" s="7">
        <f t="shared" si="2"/>
        <v>0.3573604060913706</v>
      </c>
      <c r="S72" s="7"/>
    </row>
    <row r="73" spans="3:19" ht="22.05" customHeight="1" x14ac:dyDescent="0.3">
      <c r="C73" s="19">
        <v>70</v>
      </c>
      <c r="D73" s="34">
        <v>42005.729166666664</v>
      </c>
      <c r="E73" s="2">
        <v>0</v>
      </c>
      <c r="F73" s="2">
        <v>0</v>
      </c>
      <c r="G73" s="2">
        <v>0</v>
      </c>
      <c r="H73" s="18">
        <v>0.81019253987418183</v>
      </c>
      <c r="I73" s="17">
        <v>0.3350253807106599</v>
      </c>
      <c r="J73" s="5">
        <v>0</v>
      </c>
      <c r="K73" s="5">
        <v>0</v>
      </c>
      <c r="L73" s="6">
        <v>12</v>
      </c>
      <c r="M73" s="6">
        <v>6</v>
      </c>
      <c r="N73" s="56">
        <v>0</v>
      </c>
      <c r="O73" s="56">
        <v>0</v>
      </c>
      <c r="P73" s="56">
        <v>0</v>
      </c>
      <c r="Q73" s="56">
        <v>0</v>
      </c>
      <c r="R73" s="7">
        <f t="shared" si="2"/>
        <v>0.3350253807106599</v>
      </c>
      <c r="S73" s="7"/>
    </row>
    <row r="74" spans="3:19" ht="22.05" customHeight="1" x14ac:dyDescent="0.3">
      <c r="C74" s="19">
        <v>71</v>
      </c>
      <c r="D74" s="34">
        <v>42005.739583333336</v>
      </c>
      <c r="E74" s="2">
        <v>0</v>
      </c>
      <c r="F74" s="2">
        <v>0</v>
      </c>
      <c r="G74" s="2">
        <v>0</v>
      </c>
      <c r="H74" s="18">
        <v>1.0484844633665882</v>
      </c>
      <c r="I74" s="17">
        <v>0.3350253807106599</v>
      </c>
      <c r="J74" s="5">
        <v>0</v>
      </c>
      <c r="K74" s="5">
        <v>0</v>
      </c>
      <c r="L74" s="6">
        <v>12</v>
      </c>
      <c r="M74" s="6">
        <v>6</v>
      </c>
      <c r="N74" s="56">
        <v>0</v>
      </c>
      <c r="O74" s="56">
        <v>0</v>
      </c>
      <c r="P74" s="56">
        <v>0</v>
      </c>
      <c r="Q74" s="56">
        <v>0</v>
      </c>
      <c r="R74" s="7">
        <f t="shared" si="2"/>
        <v>0.3350253807106599</v>
      </c>
      <c r="S74" s="7"/>
    </row>
    <row r="75" spans="3:19" ht="22.05" customHeight="1" x14ac:dyDescent="0.3">
      <c r="C75" s="19">
        <v>72</v>
      </c>
      <c r="D75" s="34">
        <v>42005.75</v>
      </c>
      <c r="E75" s="2">
        <v>0</v>
      </c>
      <c r="F75" s="2">
        <v>0</v>
      </c>
      <c r="G75" s="2">
        <v>0</v>
      </c>
      <c r="H75" s="18">
        <v>1.0961428480650695</v>
      </c>
      <c r="I75" s="17">
        <v>0.24568527918781724</v>
      </c>
      <c r="J75" s="5">
        <v>0</v>
      </c>
      <c r="K75" s="5">
        <v>0</v>
      </c>
      <c r="L75" s="6">
        <v>12</v>
      </c>
      <c r="M75" s="6">
        <v>6</v>
      </c>
      <c r="N75" s="56">
        <v>0</v>
      </c>
      <c r="O75" s="56">
        <v>0</v>
      </c>
      <c r="P75" s="56">
        <v>0</v>
      </c>
      <c r="Q75" s="56">
        <v>0</v>
      </c>
      <c r="R75" s="7">
        <f t="shared" si="2"/>
        <v>0.24568527918781724</v>
      </c>
      <c r="S75" s="7"/>
    </row>
    <row r="76" spans="3:19" ht="22.05" customHeight="1" x14ac:dyDescent="0.3">
      <c r="C76" s="19">
        <v>73</v>
      </c>
      <c r="D76" s="34">
        <v>42005.760416666664</v>
      </c>
      <c r="E76" s="2">
        <v>0</v>
      </c>
      <c r="F76" s="2">
        <v>0</v>
      </c>
      <c r="G76" s="2">
        <v>0</v>
      </c>
      <c r="H76" s="18">
        <v>1.5727266950498822</v>
      </c>
      <c r="I76" s="17">
        <v>0.20101522842639596</v>
      </c>
      <c r="J76" s="5">
        <v>0</v>
      </c>
      <c r="K76" s="5">
        <v>0</v>
      </c>
      <c r="L76" s="6">
        <v>12</v>
      </c>
      <c r="M76" s="6">
        <v>6</v>
      </c>
      <c r="N76" s="56">
        <v>0</v>
      </c>
      <c r="O76" s="56">
        <v>0</v>
      </c>
      <c r="P76" s="56">
        <v>0</v>
      </c>
      <c r="Q76" s="56">
        <v>0</v>
      </c>
      <c r="R76" s="7">
        <f t="shared" si="2"/>
        <v>0.20101522842639596</v>
      </c>
      <c r="S76" s="7"/>
    </row>
    <row r="77" spans="3:19" ht="22.05" customHeight="1" x14ac:dyDescent="0.3">
      <c r="C77" s="19">
        <v>74</v>
      </c>
      <c r="D77" s="34">
        <v>42005.770833333336</v>
      </c>
      <c r="E77" s="2">
        <v>0</v>
      </c>
      <c r="F77" s="2">
        <v>0</v>
      </c>
      <c r="G77" s="2">
        <v>0</v>
      </c>
      <c r="H77" s="18">
        <v>1.8110186185422887</v>
      </c>
      <c r="I77" s="17">
        <v>0.20101522842639596</v>
      </c>
      <c r="J77" s="5">
        <v>0</v>
      </c>
      <c r="K77" s="5">
        <v>0</v>
      </c>
      <c r="L77" s="6">
        <v>12</v>
      </c>
      <c r="M77" s="6">
        <v>6</v>
      </c>
      <c r="N77" s="56">
        <v>0</v>
      </c>
      <c r="O77" s="56">
        <v>0</v>
      </c>
      <c r="P77" s="56">
        <v>0</v>
      </c>
      <c r="Q77" s="56">
        <v>0</v>
      </c>
      <c r="R77" s="7">
        <f t="shared" si="2"/>
        <v>0.20101522842639596</v>
      </c>
      <c r="S77" s="7"/>
    </row>
    <row r="78" spans="3:19" ht="22.05" customHeight="1" x14ac:dyDescent="0.3">
      <c r="C78" s="19">
        <v>75</v>
      </c>
      <c r="D78" s="34">
        <v>42005.78125</v>
      </c>
      <c r="E78" s="2">
        <v>0</v>
      </c>
      <c r="F78" s="2">
        <v>0</v>
      </c>
      <c r="G78" s="2">
        <v>0</v>
      </c>
      <c r="H78" s="18">
        <v>1.715701849145326</v>
      </c>
      <c r="I78" s="17">
        <v>0.1786802030456853</v>
      </c>
      <c r="J78" s="5">
        <v>0</v>
      </c>
      <c r="K78" s="5">
        <v>0</v>
      </c>
      <c r="L78" s="6">
        <v>12</v>
      </c>
      <c r="M78" s="6">
        <v>6</v>
      </c>
      <c r="N78" s="56">
        <v>0</v>
      </c>
      <c r="O78" s="56">
        <v>0</v>
      </c>
      <c r="P78" s="56">
        <v>0</v>
      </c>
      <c r="Q78" s="56">
        <v>0</v>
      </c>
      <c r="R78" s="7">
        <f t="shared" si="2"/>
        <v>0.1786802030456853</v>
      </c>
      <c r="S78" s="7"/>
    </row>
    <row r="79" spans="3:19" ht="22.05" customHeight="1" x14ac:dyDescent="0.3">
      <c r="C79" s="19">
        <v>76</v>
      </c>
      <c r="D79" s="34">
        <v>42005.791666666664</v>
      </c>
      <c r="E79" s="2">
        <v>0</v>
      </c>
      <c r="F79" s="2">
        <v>0</v>
      </c>
      <c r="G79" s="2">
        <v>0</v>
      </c>
      <c r="H79" s="18">
        <v>1.4774099256529198</v>
      </c>
      <c r="I79" s="17">
        <v>0.11167512690355329</v>
      </c>
      <c r="J79" s="5">
        <v>0</v>
      </c>
      <c r="K79" s="5">
        <v>0</v>
      </c>
      <c r="L79" s="6">
        <v>12</v>
      </c>
      <c r="M79" s="6">
        <v>6</v>
      </c>
      <c r="N79" s="56">
        <v>0</v>
      </c>
      <c r="O79" s="56">
        <v>0</v>
      </c>
      <c r="P79" s="56">
        <v>0</v>
      </c>
      <c r="Q79" s="56">
        <v>0</v>
      </c>
      <c r="R79" s="7">
        <f t="shared" si="2"/>
        <v>0.11167512690355329</v>
      </c>
      <c r="S79" s="7"/>
    </row>
    <row r="80" spans="3:19" ht="22.05" customHeight="1" x14ac:dyDescent="0.3">
      <c r="C80" s="19">
        <v>77</v>
      </c>
      <c r="D80" s="34">
        <v>42005.802083333336</v>
      </c>
      <c r="E80" s="2">
        <v>0</v>
      </c>
      <c r="F80" s="2">
        <v>0</v>
      </c>
      <c r="G80" s="2">
        <v>0</v>
      </c>
      <c r="H80" s="18">
        <v>1.2391180021605135</v>
      </c>
      <c r="I80" s="17">
        <v>6.7005076142131983E-2</v>
      </c>
      <c r="J80" s="5">
        <v>0</v>
      </c>
      <c r="K80" s="5">
        <v>0</v>
      </c>
      <c r="L80" s="6">
        <v>12</v>
      </c>
      <c r="M80" s="6">
        <v>6</v>
      </c>
      <c r="N80" s="56">
        <v>0</v>
      </c>
      <c r="O80" s="56">
        <v>0</v>
      </c>
      <c r="P80" s="56">
        <v>0</v>
      </c>
      <c r="Q80" s="56">
        <v>0</v>
      </c>
      <c r="R80" s="7">
        <f t="shared" si="2"/>
        <v>6.7005076142131983E-2</v>
      </c>
      <c r="S80" s="7"/>
    </row>
    <row r="81" spans="3:19" ht="22.05" customHeight="1" x14ac:dyDescent="0.3">
      <c r="C81" s="19">
        <v>78</v>
      </c>
      <c r="D81" s="34">
        <v>42005.8125</v>
      </c>
      <c r="E81" s="2">
        <v>0</v>
      </c>
      <c r="F81" s="2">
        <v>0</v>
      </c>
      <c r="G81" s="2">
        <v>0</v>
      </c>
      <c r="H81" s="18">
        <v>1.2391180021605135</v>
      </c>
      <c r="I81" s="17">
        <v>4.4670050761421325E-2</v>
      </c>
      <c r="J81" s="5">
        <v>0</v>
      </c>
      <c r="K81" s="5">
        <v>0</v>
      </c>
      <c r="L81" s="6">
        <v>12</v>
      </c>
      <c r="M81" s="6">
        <v>6</v>
      </c>
      <c r="N81" s="56">
        <v>0</v>
      </c>
      <c r="O81" s="56">
        <v>0</v>
      </c>
      <c r="P81" s="56">
        <v>0</v>
      </c>
      <c r="Q81" s="56">
        <v>0</v>
      </c>
      <c r="R81" s="7">
        <f t="shared" si="2"/>
        <v>4.4670050761421325E-2</v>
      </c>
      <c r="S81" s="7"/>
    </row>
    <row r="82" spans="3:19" ht="22.05" customHeight="1" x14ac:dyDescent="0.3">
      <c r="C82" s="19">
        <v>79</v>
      </c>
      <c r="D82" s="34">
        <v>42005.822916666664</v>
      </c>
      <c r="E82" s="2">
        <v>0</v>
      </c>
      <c r="F82" s="2">
        <v>0</v>
      </c>
      <c r="G82" s="2">
        <v>0</v>
      </c>
      <c r="H82" s="18">
        <v>1.2391180021605135</v>
      </c>
      <c r="I82" s="17">
        <v>4.4670050761421325E-2</v>
      </c>
      <c r="J82" s="5">
        <v>0</v>
      </c>
      <c r="K82" s="5">
        <v>0</v>
      </c>
      <c r="L82" s="6">
        <v>10</v>
      </c>
      <c r="M82" s="6">
        <v>5</v>
      </c>
      <c r="N82" s="56">
        <v>0</v>
      </c>
      <c r="O82" s="56">
        <v>0</v>
      </c>
      <c r="P82" s="56">
        <v>0</v>
      </c>
      <c r="Q82" s="56">
        <v>0</v>
      </c>
      <c r="R82" s="7">
        <f t="shared" si="2"/>
        <v>4.4670050761421325E-2</v>
      </c>
      <c r="S82" s="7"/>
    </row>
    <row r="83" spans="3:19" ht="22.05" customHeight="1" x14ac:dyDescent="0.3">
      <c r="C83" s="19">
        <v>80</v>
      </c>
      <c r="D83" s="34">
        <v>42005.833333333336</v>
      </c>
      <c r="E83" s="2">
        <v>0</v>
      </c>
      <c r="F83" s="2">
        <v>0</v>
      </c>
      <c r="G83" s="2">
        <v>0</v>
      </c>
      <c r="H83" s="18">
        <v>1.1438012327635507</v>
      </c>
      <c r="I83" s="17">
        <v>2.2335025380710662E-2</v>
      </c>
      <c r="J83" s="5">
        <v>0</v>
      </c>
      <c r="K83" s="5">
        <v>0</v>
      </c>
      <c r="L83" s="6">
        <v>10</v>
      </c>
      <c r="M83" s="6">
        <v>5</v>
      </c>
      <c r="N83" s="56">
        <v>0</v>
      </c>
      <c r="O83" s="56">
        <v>0</v>
      </c>
      <c r="P83" s="56">
        <v>0</v>
      </c>
      <c r="Q83" s="56">
        <v>0</v>
      </c>
      <c r="R83" s="7">
        <f t="shared" si="2"/>
        <v>2.2335025380710662E-2</v>
      </c>
      <c r="S83" s="7"/>
    </row>
    <row r="84" spans="3:19" ht="22.05" customHeight="1" x14ac:dyDescent="0.3">
      <c r="C84" s="19">
        <v>81</v>
      </c>
      <c r="D84" s="34">
        <v>42005.84375</v>
      </c>
      <c r="E84" s="2">
        <v>0</v>
      </c>
      <c r="F84" s="2">
        <v>0</v>
      </c>
      <c r="G84" s="2">
        <v>0</v>
      </c>
      <c r="H84" s="18">
        <v>0.90550930927114437</v>
      </c>
      <c r="I84" s="17">
        <v>0</v>
      </c>
      <c r="J84" s="5">
        <v>0</v>
      </c>
      <c r="K84" s="5">
        <v>0</v>
      </c>
      <c r="L84" s="6">
        <v>10</v>
      </c>
      <c r="M84" s="6">
        <v>5</v>
      </c>
      <c r="N84" s="56">
        <v>0</v>
      </c>
      <c r="O84" s="56">
        <v>0</v>
      </c>
      <c r="P84" s="56">
        <v>0</v>
      </c>
      <c r="Q84" s="56">
        <v>0</v>
      </c>
      <c r="R84" s="7">
        <f t="shared" si="2"/>
        <v>0</v>
      </c>
      <c r="S84" s="7"/>
    </row>
    <row r="85" spans="3:19" ht="22.05" customHeight="1" x14ac:dyDescent="0.3">
      <c r="C85" s="19">
        <v>82</v>
      </c>
      <c r="D85" s="34">
        <v>42005.854166666664</v>
      </c>
      <c r="E85" s="2">
        <v>0</v>
      </c>
      <c r="F85" s="2">
        <v>0</v>
      </c>
      <c r="G85" s="2">
        <v>0</v>
      </c>
      <c r="H85" s="18">
        <v>1.5727266950498822</v>
      </c>
      <c r="I85" s="17">
        <v>0</v>
      </c>
      <c r="J85" s="5">
        <v>0</v>
      </c>
      <c r="K85" s="5">
        <v>0</v>
      </c>
      <c r="L85" s="6">
        <v>10</v>
      </c>
      <c r="M85" s="6">
        <v>5</v>
      </c>
      <c r="N85" s="56">
        <v>0</v>
      </c>
      <c r="O85" s="56">
        <v>0</v>
      </c>
      <c r="P85" s="56">
        <v>0</v>
      </c>
      <c r="Q85" s="56">
        <v>0</v>
      </c>
      <c r="R85" s="7">
        <f t="shared" si="2"/>
        <v>0</v>
      </c>
      <c r="S85" s="7"/>
    </row>
    <row r="86" spans="3:19" ht="22.05" customHeight="1" x14ac:dyDescent="0.3">
      <c r="C86" s="19">
        <v>83</v>
      </c>
      <c r="D86" s="34">
        <v>42005.864583333336</v>
      </c>
      <c r="E86" s="2">
        <v>0</v>
      </c>
      <c r="F86" s="2">
        <v>0</v>
      </c>
      <c r="G86" s="2">
        <v>0</v>
      </c>
      <c r="H86" s="18">
        <v>1.6203850797483637</v>
      </c>
      <c r="I86" s="17">
        <v>0</v>
      </c>
      <c r="J86" s="5">
        <v>0</v>
      </c>
      <c r="K86" s="5">
        <v>0</v>
      </c>
      <c r="L86" s="6">
        <v>10</v>
      </c>
      <c r="M86" s="6">
        <v>5</v>
      </c>
      <c r="N86" s="56">
        <v>0</v>
      </c>
      <c r="O86" s="56">
        <v>0</v>
      </c>
      <c r="P86" s="56">
        <v>0</v>
      </c>
      <c r="Q86" s="56">
        <v>0</v>
      </c>
      <c r="R86" s="7">
        <f t="shared" si="2"/>
        <v>0</v>
      </c>
      <c r="S86" s="7"/>
    </row>
    <row r="87" spans="3:19" ht="22.05" customHeight="1" x14ac:dyDescent="0.3">
      <c r="C87" s="19">
        <v>84</v>
      </c>
      <c r="D87" s="34">
        <v>42005.875</v>
      </c>
      <c r="E87" s="2">
        <v>0</v>
      </c>
      <c r="F87" s="2">
        <v>0</v>
      </c>
      <c r="G87" s="2">
        <v>0</v>
      </c>
      <c r="H87" s="18">
        <v>1.2867763868589945</v>
      </c>
      <c r="I87" s="17">
        <v>0</v>
      </c>
      <c r="J87" s="5">
        <v>0</v>
      </c>
      <c r="K87" s="5">
        <v>0</v>
      </c>
      <c r="L87" s="6">
        <v>10</v>
      </c>
      <c r="M87" s="6">
        <v>5</v>
      </c>
      <c r="N87" s="56">
        <v>0</v>
      </c>
      <c r="O87" s="56">
        <v>0</v>
      </c>
      <c r="P87" s="56">
        <v>0</v>
      </c>
      <c r="Q87" s="56">
        <v>0</v>
      </c>
      <c r="R87" s="7">
        <f t="shared" si="2"/>
        <v>0</v>
      </c>
      <c r="S87" s="7"/>
    </row>
    <row r="88" spans="3:19" ht="22.05" customHeight="1" x14ac:dyDescent="0.3">
      <c r="C88" s="19">
        <v>85</v>
      </c>
      <c r="D88" s="34">
        <v>42005.885416666664</v>
      </c>
      <c r="E88" s="2">
        <v>0</v>
      </c>
      <c r="F88" s="2">
        <v>0</v>
      </c>
      <c r="G88" s="2">
        <v>0</v>
      </c>
      <c r="H88" s="18">
        <v>1.4297515409544383</v>
      </c>
      <c r="I88" s="17">
        <v>0</v>
      </c>
      <c r="J88" s="5">
        <v>0</v>
      </c>
      <c r="K88" s="5">
        <v>0</v>
      </c>
      <c r="L88" s="6">
        <v>10</v>
      </c>
      <c r="M88" s="6">
        <v>5</v>
      </c>
      <c r="N88" s="56">
        <v>0</v>
      </c>
      <c r="O88" s="56">
        <v>0</v>
      </c>
      <c r="P88" s="56">
        <v>0</v>
      </c>
      <c r="Q88" s="56">
        <v>0</v>
      </c>
      <c r="R88" s="7">
        <f t="shared" si="2"/>
        <v>0</v>
      </c>
      <c r="S88" s="7"/>
    </row>
    <row r="89" spans="3:19" ht="22.05" customHeight="1" x14ac:dyDescent="0.3">
      <c r="C89" s="19">
        <v>86</v>
      </c>
      <c r="D89" s="34">
        <v>42005.895833333336</v>
      </c>
      <c r="E89" s="2">
        <v>0</v>
      </c>
      <c r="F89" s="2">
        <v>0</v>
      </c>
      <c r="G89" s="2">
        <v>0</v>
      </c>
      <c r="H89" s="18">
        <v>1.6680434644468447</v>
      </c>
      <c r="I89" s="17">
        <v>0</v>
      </c>
      <c r="J89" s="5">
        <v>0</v>
      </c>
      <c r="K89" s="5">
        <v>0</v>
      </c>
      <c r="L89" s="6">
        <v>10</v>
      </c>
      <c r="M89" s="6">
        <v>5</v>
      </c>
      <c r="N89" s="56">
        <v>0</v>
      </c>
      <c r="O89" s="56">
        <v>0</v>
      </c>
      <c r="P89" s="56">
        <v>0</v>
      </c>
      <c r="Q89" s="56">
        <v>0</v>
      </c>
      <c r="R89" s="7">
        <f t="shared" si="2"/>
        <v>0</v>
      </c>
      <c r="S89" s="7"/>
    </row>
    <row r="90" spans="3:19" ht="22.05" customHeight="1" x14ac:dyDescent="0.3">
      <c r="C90" s="19">
        <v>87</v>
      </c>
      <c r="D90" s="34">
        <v>42005.90625</v>
      </c>
      <c r="E90" s="2">
        <v>0</v>
      </c>
      <c r="F90" s="2">
        <v>0</v>
      </c>
      <c r="G90" s="2">
        <v>0</v>
      </c>
      <c r="H90" s="18">
        <v>1.5936963843172141</v>
      </c>
      <c r="I90" s="17">
        <v>0</v>
      </c>
      <c r="J90" s="5">
        <v>0</v>
      </c>
      <c r="K90" s="5">
        <v>0</v>
      </c>
      <c r="L90" s="6">
        <v>10</v>
      </c>
      <c r="M90" s="6">
        <v>5</v>
      </c>
      <c r="N90" s="56">
        <v>0</v>
      </c>
      <c r="O90" s="56">
        <v>0</v>
      </c>
      <c r="P90" s="56">
        <v>0</v>
      </c>
      <c r="Q90" s="56">
        <v>0</v>
      </c>
      <c r="R90" s="7">
        <f t="shared" si="2"/>
        <v>0</v>
      </c>
      <c r="S90" s="7"/>
    </row>
    <row r="91" spans="3:19" ht="22.05" customHeight="1" x14ac:dyDescent="0.3">
      <c r="C91" s="19">
        <v>88</v>
      </c>
      <c r="D91" s="34">
        <v>42005.916666666664</v>
      </c>
      <c r="E91" s="2">
        <v>0</v>
      </c>
      <c r="F91" s="2">
        <v>0</v>
      </c>
      <c r="G91" s="2">
        <v>0</v>
      </c>
      <c r="H91" s="18">
        <v>1.7633602338438075</v>
      </c>
      <c r="I91" s="17">
        <v>0</v>
      </c>
      <c r="J91" s="5">
        <v>0</v>
      </c>
      <c r="K91" s="5">
        <v>0</v>
      </c>
      <c r="L91" s="6">
        <v>10</v>
      </c>
      <c r="M91" s="6">
        <v>5</v>
      </c>
      <c r="N91" s="56">
        <v>0</v>
      </c>
      <c r="O91" s="56">
        <v>0</v>
      </c>
      <c r="P91" s="56">
        <v>0</v>
      </c>
      <c r="Q91" s="56">
        <v>0</v>
      </c>
      <c r="R91" s="7">
        <f t="shared" si="2"/>
        <v>0</v>
      </c>
      <c r="S91" s="7"/>
    </row>
    <row r="92" spans="3:19" ht="22.05" customHeight="1" x14ac:dyDescent="0.3">
      <c r="C92" s="19">
        <v>89</v>
      </c>
      <c r="D92" s="34">
        <v>42005.927083333336</v>
      </c>
      <c r="E92" s="2">
        <v>0</v>
      </c>
      <c r="F92" s="2">
        <v>0</v>
      </c>
      <c r="G92" s="2">
        <v>0</v>
      </c>
      <c r="H92" s="18">
        <v>1.6203850797483637</v>
      </c>
      <c r="I92" s="17">
        <v>0</v>
      </c>
      <c r="J92" s="5">
        <v>0</v>
      </c>
      <c r="K92" s="5">
        <v>0</v>
      </c>
      <c r="L92" s="6">
        <v>10</v>
      </c>
      <c r="M92" s="6">
        <v>5</v>
      </c>
      <c r="N92" s="56">
        <v>0</v>
      </c>
      <c r="O92" s="56">
        <v>0</v>
      </c>
      <c r="P92" s="56">
        <v>0</v>
      </c>
      <c r="Q92" s="56">
        <v>0</v>
      </c>
      <c r="R92" s="7">
        <f t="shared" si="2"/>
        <v>0</v>
      </c>
      <c r="S92" s="7"/>
    </row>
    <row r="93" spans="3:19" ht="22.05" customHeight="1" x14ac:dyDescent="0.3">
      <c r="C93" s="19">
        <v>90</v>
      </c>
      <c r="D93" s="34">
        <v>42005.9375</v>
      </c>
      <c r="E93" s="2">
        <v>0</v>
      </c>
      <c r="F93" s="2">
        <v>0</v>
      </c>
      <c r="G93" s="2">
        <v>0</v>
      </c>
      <c r="H93" s="18">
        <v>1.0008260786681069</v>
      </c>
      <c r="I93" s="17">
        <v>0</v>
      </c>
      <c r="J93" s="5">
        <v>0</v>
      </c>
      <c r="K93" s="5">
        <v>0</v>
      </c>
      <c r="L93" s="6">
        <v>10</v>
      </c>
      <c r="M93" s="6">
        <v>5</v>
      </c>
      <c r="N93" s="56">
        <v>0</v>
      </c>
      <c r="O93" s="56">
        <v>0</v>
      </c>
      <c r="P93" s="56">
        <v>0</v>
      </c>
      <c r="Q93" s="56">
        <v>0</v>
      </c>
      <c r="R93" s="7">
        <f t="shared" si="2"/>
        <v>0</v>
      </c>
      <c r="S93" s="7"/>
    </row>
    <row r="94" spans="3:19" ht="22.05" customHeight="1" x14ac:dyDescent="0.3">
      <c r="C94" s="19">
        <v>91</v>
      </c>
      <c r="D94" s="34">
        <v>42005.947916666664</v>
      </c>
      <c r="E94" s="2">
        <v>0</v>
      </c>
      <c r="F94" s="2">
        <v>0</v>
      </c>
      <c r="G94" s="2">
        <v>0</v>
      </c>
      <c r="H94" s="18">
        <v>1.0961428480650695</v>
      </c>
      <c r="I94" s="17">
        <v>0</v>
      </c>
      <c r="J94" s="5">
        <v>0</v>
      </c>
      <c r="K94" s="5">
        <v>0</v>
      </c>
      <c r="L94" s="6">
        <v>10</v>
      </c>
      <c r="M94" s="6">
        <v>5</v>
      </c>
      <c r="N94" s="56">
        <v>0</v>
      </c>
      <c r="O94" s="56">
        <v>0</v>
      </c>
      <c r="P94" s="56">
        <v>0</v>
      </c>
      <c r="Q94" s="56">
        <v>0</v>
      </c>
      <c r="R94" s="7">
        <f t="shared" si="2"/>
        <v>0</v>
      </c>
      <c r="S94" s="7"/>
    </row>
    <row r="95" spans="3:19" ht="22.05" customHeight="1" x14ac:dyDescent="0.3">
      <c r="C95" s="19">
        <v>92</v>
      </c>
      <c r="D95" s="34">
        <v>42005.958333333336</v>
      </c>
      <c r="E95" s="2">
        <v>0</v>
      </c>
      <c r="F95" s="2">
        <v>0</v>
      </c>
      <c r="G95" s="2">
        <v>0</v>
      </c>
      <c r="H95" s="18">
        <v>0.81019253987418183</v>
      </c>
      <c r="I95" s="17">
        <v>0</v>
      </c>
      <c r="J95" s="5">
        <v>0</v>
      </c>
      <c r="K95" s="5">
        <v>0</v>
      </c>
      <c r="L95" s="6">
        <v>10</v>
      </c>
      <c r="M95" s="6">
        <v>5</v>
      </c>
      <c r="N95" s="56">
        <v>0</v>
      </c>
      <c r="O95" s="56">
        <v>0</v>
      </c>
      <c r="P95" s="56">
        <v>0</v>
      </c>
      <c r="Q95" s="56">
        <v>0</v>
      </c>
      <c r="R95" s="7">
        <f t="shared" si="2"/>
        <v>0</v>
      </c>
      <c r="S95" s="7"/>
    </row>
    <row r="96" spans="3:19" ht="22.05" customHeight="1" x14ac:dyDescent="0.3">
      <c r="C96" s="19">
        <v>93</v>
      </c>
      <c r="D96" s="34">
        <v>42005.96875</v>
      </c>
      <c r="E96" s="2">
        <v>0</v>
      </c>
      <c r="F96" s="2">
        <v>0</v>
      </c>
      <c r="G96" s="2">
        <v>0</v>
      </c>
      <c r="H96" s="18">
        <v>0.6672173857787379</v>
      </c>
      <c r="I96" s="17">
        <v>0</v>
      </c>
      <c r="J96" s="5">
        <v>0</v>
      </c>
      <c r="K96" s="5">
        <v>0</v>
      </c>
      <c r="L96" s="6">
        <v>10</v>
      </c>
      <c r="M96" s="6">
        <v>5</v>
      </c>
      <c r="N96" s="56">
        <v>0</v>
      </c>
      <c r="O96" s="56">
        <v>0</v>
      </c>
      <c r="P96" s="56">
        <v>0</v>
      </c>
      <c r="Q96" s="56">
        <v>0</v>
      </c>
      <c r="R96" s="7">
        <f t="shared" si="2"/>
        <v>0</v>
      </c>
      <c r="S96" s="7"/>
    </row>
    <row r="97" spans="3:19" ht="22.05" customHeight="1" x14ac:dyDescent="0.3">
      <c r="C97" s="19">
        <v>94</v>
      </c>
      <c r="D97" s="34">
        <v>42005.979166666664</v>
      </c>
      <c r="E97" s="2">
        <v>0</v>
      </c>
      <c r="F97" s="2">
        <v>0</v>
      </c>
      <c r="G97" s="2">
        <v>0</v>
      </c>
      <c r="H97" s="18">
        <v>0.57190061638177536</v>
      </c>
      <c r="I97" s="17">
        <v>0</v>
      </c>
      <c r="J97" s="5">
        <v>0</v>
      </c>
      <c r="K97" s="5">
        <v>0</v>
      </c>
      <c r="L97" s="6">
        <v>10</v>
      </c>
      <c r="M97" s="6">
        <v>5</v>
      </c>
      <c r="N97" s="56">
        <v>0</v>
      </c>
      <c r="O97" s="56">
        <v>0</v>
      </c>
      <c r="P97" s="56">
        <v>0</v>
      </c>
      <c r="Q97" s="56">
        <v>0</v>
      </c>
      <c r="R97" s="7">
        <f t="shared" si="2"/>
        <v>0</v>
      </c>
      <c r="S97" s="7"/>
    </row>
    <row r="98" spans="3:19" ht="22.05" customHeight="1" x14ac:dyDescent="0.3">
      <c r="C98" s="19">
        <v>95</v>
      </c>
      <c r="D98" s="34">
        <v>42005.989583333336</v>
      </c>
      <c r="E98" s="2">
        <v>0</v>
      </c>
      <c r="F98" s="2">
        <v>0</v>
      </c>
      <c r="G98" s="2">
        <v>0</v>
      </c>
      <c r="H98" s="18">
        <v>0.61955900108025674</v>
      </c>
      <c r="I98" s="17">
        <v>0</v>
      </c>
      <c r="J98" s="5">
        <v>0</v>
      </c>
      <c r="K98" s="5">
        <v>0</v>
      </c>
      <c r="L98" s="6">
        <v>10</v>
      </c>
      <c r="M98" s="6">
        <v>5</v>
      </c>
      <c r="N98" s="56">
        <v>0</v>
      </c>
      <c r="O98" s="56">
        <v>0</v>
      </c>
      <c r="P98" s="56">
        <v>0</v>
      </c>
      <c r="Q98" s="56">
        <v>0</v>
      </c>
      <c r="R98" s="7">
        <f t="shared" si="2"/>
        <v>0</v>
      </c>
      <c r="S98" s="7"/>
    </row>
    <row r="99" spans="3:19" ht="22.05" customHeight="1" thickBot="1" x14ac:dyDescent="0.35">
      <c r="C99" s="20">
        <v>96</v>
      </c>
      <c r="D99" s="42">
        <v>42006</v>
      </c>
      <c r="E99" s="43">
        <v>0</v>
      </c>
      <c r="F99" s="43">
        <v>0</v>
      </c>
      <c r="G99" s="43">
        <v>0</v>
      </c>
      <c r="H99" s="44">
        <v>0.38126707758785022</v>
      </c>
      <c r="I99" s="45">
        <v>0</v>
      </c>
      <c r="J99" s="46">
        <v>0</v>
      </c>
      <c r="K99" s="46">
        <v>0</v>
      </c>
      <c r="L99" s="47">
        <v>10</v>
      </c>
      <c r="M99" s="47">
        <v>5</v>
      </c>
      <c r="N99" s="56">
        <v>0</v>
      </c>
      <c r="O99" s="56">
        <v>0</v>
      </c>
      <c r="P99" s="56">
        <v>0</v>
      </c>
      <c r="Q99" s="56">
        <v>0</v>
      </c>
      <c r="R99" s="48">
        <f t="shared" si="2"/>
        <v>0</v>
      </c>
      <c r="S99" s="48"/>
    </row>
    <row r="100" spans="3:19" ht="18" customHeight="1" x14ac:dyDescent="0.3">
      <c r="E100" s="3"/>
      <c r="H100" s="12">
        <f>SUM(H4:H99)</f>
        <v>205.23416153015191</v>
      </c>
      <c r="I100" s="12">
        <f>SUM(I4:I99)</f>
        <v>22.000000000000007</v>
      </c>
      <c r="P100" s="59"/>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14</vt:i4>
      </vt:variant>
      <vt:variant>
        <vt:lpstr>Benannte Bereiche</vt:lpstr>
      </vt:variant>
      <vt:variant>
        <vt:i4>195</vt:i4>
      </vt:variant>
    </vt:vector>
  </HeadingPairs>
  <TitlesOfParts>
    <vt:vector size="209" baseType="lpstr">
      <vt:lpstr>IO</vt:lpstr>
      <vt:lpstr>MA</vt:lpstr>
      <vt:lpstr>TA</vt:lpstr>
      <vt:lpstr>a01</vt:lpstr>
      <vt:lpstr>a02</vt:lpstr>
      <vt:lpstr>a03</vt:lpstr>
      <vt:lpstr>a04</vt:lpstr>
      <vt:lpstr>a05</vt:lpstr>
      <vt:lpstr>a06</vt:lpstr>
      <vt:lpstr>a07</vt:lpstr>
      <vt:lpstr>a08</vt:lpstr>
      <vt:lpstr>a09</vt:lpstr>
      <vt:lpstr>a10</vt:lpstr>
      <vt:lpstr>total</vt:lpstr>
      <vt:lpstr>'a02'!batt_eff</vt:lpstr>
      <vt:lpstr>'a03'!batt_eff</vt:lpstr>
      <vt:lpstr>'a04'!batt_eff</vt:lpstr>
      <vt:lpstr>'a05'!batt_eff</vt:lpstr>
      <vt:lpstr>'a06'!batt_eff</vt:lpstr>
      <vt:lpstr>'a07'!batt_eff</vt:lpstr>
      <vt:lpstr>'a08'!batt_eff</vt:lpstr>
      <vt:lpstr>'a09'!batt_eff</vt:lpstr>
      <vt:lpstr>'a10'!batt_eff</vt:lpstr>
      <vt:lpstr>MA!batt_eff</vt:lpstr>
      <vt:lpstr>TA!batt_eff</vt:lpstr>
      <vt:lpstr>total!batt_eff</vt:lpstr>
      <vt:lpstr>batt_eff</vt:lpstr>
      <vt:lpstr>'a02'!endSOC</vt:lpstr>
      <vt:lpstr>'a03'!endSOC</vt:lpstr>
      <vt:lpstr>'a04'!endSOC</vt:lpstr>
      <vt:lpstr>'a05'!endSOC</vt:lpstr>
      <vt:lpstr>'a06'!endSOC</vt:lpstr>
      <vt:lpstr>'a07'!endSOC</vt:lpstr>
      <vt:lpstr>'a08'!endSOC</vt:lpstr>
      <vt:lpstr>'a09'!endSOC</vt:lpstr>
      <vt:lpstr>'a10'!endSOC</vt:lpstr>
      <vt:lpstr>MA!endSOC</vt:lpstr>
      <vt:lpstr>TA!endSOC</vt:lpstr>
      <vt:lpstr>total!endSOC</vt:lpstr>
      <vt:lpstr>endSOC</vt:lpstr>
      <vt:lpstr>'a02'!horizont</vt:lpstr>
      <vt:lpstr>'a03'!horizont</vt:lpstr>
      <vt:lpstr>'a04'!horizont</vt:lpstr>
      <vt:lpstr>'a05'!horizont</vt:lpstr>
      <vt:lpstr>'a06'!horizont</vt:lpstr>
      <vt:lpstr>'a07'!horizont</vt:lpstr>
      <vt:lpstr>'a08'!horizont</vt:lpstr>
      <vt:lpstr>'a09'!horizont</vt:lpstr>
      <vt:lpstr>'a10'!horizont</vt:lpstr>
      <vt:lpstr>MA!horizont</vt:lpstr>
      <vt:lpstr>TA!horizont</vt:lpstr>
      <vt:lpstr>total!horizont</vt:lpstr>
      <vt:lpstr>horizont</vt:lpstr>
      <vt:lpstr>'a02'!initSOC</vt:lpstr>
      <vt:lpstr>'a03'!initSOC</vt:lpstr>
      <vt:lpstr>'a04'!initSOC</vt:lpstr>
      <vt:lpstr>'a05'!initSOC</vt:lpstr>
      <vt:lpstr>'a06'!initSOC</vt:lpstr>
      <vt:lpstr>'a07'!initSOC</vt:lpstr>
      <vt:lpstr>'a08'!initSOC</vt:lpstr>
      <vt:lpstr>'a09'!initSOC</vt:lpstr>
      <vt:lpstr>'a10'!initSOC</vt:lpstr>
      <vt:lpstr>MA!initSOC</vt:lpstr>
      <vt:lpstr>TA!initSOC</vt:lpstr>
      <vt:lpstr>total!initSOC</vt:lpstr>
      <vt:lpstr>initSOC</vt:lpstr>
      <vt:lpstr>'a02'!max_buy</vt:lpstr>
      <vt:lpstr>'a03'!max_buy</vt:lpstr>
      <vt:lpstr>'a04'!max_buy</vt:lpstr>
      <vt:lpstr>'a05'!max_buy</vt:lpstr>
      <vt:lpstr>'a06'!max_buy</vt:lpstr>
      <vt:lpstr>'a07'!max_buy</vt:lpstr>
      <vt:lpstr>'a08'!max_buy</vt:lpstr>
      <vt:lpstr>'a09'!max_buy</vt:lpstr>
      <vt:lpstr>'a10'!max_buy</vt:lpstr>
      <vt:lpstr>MA!max_buy</vt:lpstr>
      <vt:lpstr>TA!max_buy</vt:lpstr>
      <vt:lpstr>total!max_buy</vt:lpstr>
      <vt:lpstr>max_buy</vt:lpstr>
      <vt:lpstr>'a02'!max_cha</vt:lpstr>
      <vt:lpstr>'a03'!max_cha</vt:lpstr>
      <vt:lpstr>'a04'!max_cha</vt:lpstr>
      <vt:lpstr>'a05'!max_cha</vt:lpstr>
      <vt:lpstr>'a06'!max_cha</vt:lpstr>
      <vt:lpstr>'a07'!max_cha</vt:lpstr>
      <vt:lpstr>'a08'!max_cha</vt:lpstr>
      <vt:lpstr>'a09'!max_cha</vt:lpstr>
      <vt:lpstr>'a10'!max_cha</vt:lpstr>
      <vt:lpstr>MA!max_cha</vt:lpstr>
      <vt:lpstr>TA!max_cha</vt:lpstr>
      <vt:lpstr>total!max_cha</vt:lpstr>
      <vt:lpstr>max_cha</vt:lpstr>
      <vt:lpstr>'a02'!max_dis</vt:lpstr>
      <vt:lpstr>'a03'!max_dis</vt:lpstr>
      <vt:lpstr>'a04'!max_dis</vt:lpstr>
      <vt:lpstr>'a05'!max_dis</vt:lpstr>
      <vt:lpstr>'a06'!max_dis</vt:lpstr>
      <vt:lpstr>'a07'!max_dis</vt:lpstr>
      <vt:lpstr>'a08'!max_dis</vt:lpstr>
      <vt:lpstr>'a09'!max_dis</vt:lpstr>
      <vt:lpstr>'a10'!max_dis</vt:lpstr>
      <vt:lpstr>MA!max_dis</vt:lpstr>
      <vt:lpstr>TA!max_dis</vt:lpstr>
      <vt:lpstr>total!max_dis</vt:lpstr>
      <vt:lpstr>max_dis</vt:lpstr>
      <vt:lpstr>'a02'!max_sell</vt:lpstr>
      <vt:lpstr>'a03'!max_sell</vt:lpstr>
      <vt:lpstr>'a04'!max_sell</vt:lpstr>
      <vt:lpstr>'a05'!max_sell</vt:lpstr>
      <vt:lpstr>'a06'!max_sell</vt:lpstr>
      <vt:lpstr>'a07'!max_sell</vt:lpstr>
      <vt:lpstr>'a08'!max_sell</vt:lpstr>
      <vt:lpstr>'a09'!max_sell</vt:lpstr>
      <vt:lpstr>'a10'!max_sell</vt:lpstr>
      <vt:lpstr>MA!max_sell</vt:lpstr>
      <vt:lpstr>TA!max_sell</vt:lpstr>
      <vt:lpstr>total!max_sell</vt:lpstr>
      <vt:lpstr>max_sell</vt:lpstr>
      <vt:lpstr>'a02'!min_cha</vt:lpstr>
      <vt:lpstr>'a03'!min_cha</vt:lpstr>
      <vt:lpstr>'a04'!min_cha</vt:lpstr>
      <vt:lpstr>'a05'!min_cha</vt:lpstr>
      <vt:lpstr>'a06'!min_cha</vt:lpstr>
      <vt:lpstr>'a07'!min_cha</vt:lpstr>
      <vt:lpstr>'a08'!min_cha</vt:lpstr>
      <vt:lpstr>'a09'!min_cha</vt:lpstr>
      <vt:lpstr>'a10'!min_cha</vt:lpstr>
      <vt:lpstr>MA!min_cha</vt:lpstr>
      <vt:lpstr>TA!min_cha</vt:lpstr>
      <vt:lpstr>total!min_cha</vt:lpstr>
      <vt:lpstr>min_cha</vt:lpstr>
      <vt:lpstr>'a02'!min_char</vt:lpstr>
      <vt:lpstr>'a03'!min_char</vt:lpstr>
      <vt:lpstr>'a04'!min_char</vt:lpstr>
      <vt:lpstr>'a05'!min_char</vt:lpstr>
      <vt:lpstr>'a06'!min_char</vt:lpstr>
      <vt:lpstr>'a07'!min_char</vt:lpstr>
      <vt:lpstr>'a08'!min_char</vt:lpstr>
      <vt:lpstr>'a09'!min_char</vt:lpstr>
      <vt:lpstr>'a10'!min_char</vt:lpstr>
      <vt:lpstr>MA!min_char</vt:lpstr>
      <vt:lpstr>TA!min_char</vt:lpstr>
      <vt:lpstr>total!min_char</vt:lpstr>
      <vt:lpstr>min_char</vt:lpstr>
      <vt:lpstr>'a02'!min_dis</vt:lpstr>
      <vt:lpstr>'a03'!min_dis</vt:lpstr>
      <vt:lpstr>'a04'!min_dis</vt:lpstr>
      <vt:lpstr>'a05'!min_dis</vt:lpstr>
      <vt:lpstr>'a06'!min_dis</vt:lpstr>
      <vt:lpstr>'a07'!min_dis</vt:lpstr>
      <vt:lpstr>'a08'!min_dis</vt:lpstr>
      <vt:lpstr>'a09'!min_dis</vt:lpstr>
      <vt:lpstr>'a10'!min_dis</vt:lpstr>
      <vt:lpstr>MA!min_dis</vt:lpstr>
      <vt:lpstr>TA!min_dis</vt:lpstr>
      <vt:lpstr>total!min_dis</vt:lpstr>
      <vt:lpstr>min_dis</vt:lpstr>
      <vt:lpstr>'a02'!Status</vt:lpstr>
      <vt:lpstr>'a03'!Status</vt:lpstr>
      <vt:lpstr>'a04'!Status</vt:lpstr>
      <vt:lpstr>'a05'!Status</vt:lpstr>
      <vt:lpstr>'a06'!Status</vt:lpstr>
      <vt:lpstr>'a07'!Status</vt:lpstr>
      <vt:lpstr>'a08'!Status</vt:lpstr>
      <vt:lpstr>'a09'!Status</vt:lpstr>
      <vt:lpstr>'a10'!Status</vt:lpstr>
      <vt:lpstr>MA!Status</vt:lpstr>
      <vt:lpstr>TA!Status</vt:lpstr>
      <vt:lpstr>total!Status</vt:lpstr>
      <vt:lpstr>Status</vt:lpstr>
      <vt:lpstr>'a02'!thres_down</vt:lpstr>
      <vt:lpstr>'a03'!thres_down</vt:lpstr>
      <vt:lpstr>'a04'!thres_down</vt:lpstr>
      <vt:lpstr>'a05'!thres_down</vt:lpstr>
      <vt:lpstr>'a06'!thres_down</vt:lpstr>
      <vt:lpstr>'a07'!thres_down</vt:lpstr>
      <vt:lpstr>'a08'!thres_down</vt:lpstr>
      <vt:lpstr>'a09'!thres_down</vt:lpstr>
      <vt:lpstr>'a10'!thres_down</vt:lpstr>
      <vt:lpstr>MA!thres_down</vt:lpstr>
      <vt:lpstr>TA!thres_down</vt:lpstr>
      <vt:lpstr>total!thres_down</vt:lpstr>
      <vt:lpstr>thres_down</vt:lpstr>
      <vt:lpstr>'a02'!thres_up</vt:lpstr>
      <vt:lpstr>'a03'!thres_up</vt:lpstr>
      <vt:lpstr>'a04'!thres_up</vt:lpstr>
      <vt:lpstr>'a05'!thres_up</vt:lpstr>
      <vt:lpstr>'a06'!thres_up</vt:lpstr>
      <vt:lpstr>'a07'!thres_up</vt:lpstr>
      <vt:lpstr>'a08'!thres_up</vt:lpstr>
      <vt:lpstr>'a09'!thres_up</vt:lpstr>
      <vt:lpstr>'a10'!thres_up</vt:lpstr>
      <vt:lpstr>MA!thres_up</vt:lpstr>
      <vt:lpstr>TA!thres_up</vt:lpstr>
      <vt:lpstr>total!thres_up</vt:lpstr>
      <vt:lpstr>thres_up</vt:lpstr>
      <vt:lpstr>'a02'!Total_Costs</vt:lpstr>
      <vt:lpstr>'a03'!Total_Costs</vt:lpstr>
      <vt:lpstr>'a04'!Total_Costs</vt:lpstr>
      <vt:lpstr>'a05'!Total_Costs</vt:lpstr>
      <vt:lpstr>'a06'!Total_Costs</vt:lpstr>
      <vt:lpstr>'a07'!Total_Costs</vt:lpstr>
      <vt:lpstr>'a08'!Total_Costs</vt:lpstr>
      <vt:lpstr>'a09'!Total_Costs</vt:lpstr>
      <vt:lpstr>'a10'!Total_Costs</vt:lpstr>
      <vt:lpstr>MA!Total_Costs</vt:lpstr>
      <vt:lpstr>TA!Total_Costs</vt:lpstr>
      <vt:lpstr>total!Total_Costs</vt:lpstr>
      <vt:lpstr>Total_Costs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 G.</dc:creator>
  <cp:lastModifiedBy>W. G.</cp:lastModifiedBy>
  <dcterms:created xsi:type="dcterms:W3CDTF">2018-04-02T16:49:10Z</dcterms:created>
  <dcterms:modified xsi:type="dcterms:W3CDTF">2018-06-25T10:05:55Z</dcterms:modified>
</cp:coreProperties>
</file>